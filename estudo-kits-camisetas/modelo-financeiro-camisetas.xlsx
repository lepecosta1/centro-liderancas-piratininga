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remissas" sheetId="2" state="visible" r:id="rId2"/>
    <sheet name="Ficha de Custo" sheetId="3" state="visible" r:id="rId3"/>
    <sheet name="Calculadora" sheetId="4" state="visible" r:id="rId4"/>
    <sheet name="Cenarios" sheetId="5" state="visible" r:id="rId5"/>
    <sheet name="Sensibilidade" sheetId="6" state="visible" r:id="rId6"/>
    <sheet name="Projecao" sheetId="7" state="visible" r:id="rId7"/>
    <sheet name="Midia" sheetId="8" state="visible" r:id="rId8"/>
    <sheet name="Taxas 2026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R$ #,##0.00;(R$ #,##0.00);-"/>
    <numFmt numFmtId="165" formatCode="R$ #,##0;(R$ #,##0);-"/>
    <numFmt numFmtId="166" formatCode="0.00&quot;x&quot;"/>
    <numFmt numFmtId="167" formatCode="0.000"/>
    <numFmt numFmtId="168" formatCode="0.0%"/>
    <numFmt numFmtId="169" formatCode="0.0"/>
    <numFmt numFmtId="170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1F2937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A6E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E8F4E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0" fillId="3" borderId="0" pivotButton="0" quotePrefix="0" xfId="0"/>
    <xf numFmtId="164" fontId="6" fillId="3" borderId="1" pivotButton="0" quotePrefix="0" xfId="0"/>
    <xf numFmtId="0" fontId="2" fillId="0" borderId="0" applyAlignment="1" pivotButton="0" quotePrefix="0" xfId="0">
      <alignment vertical="center" wrapText="1"/>
    </xf>
    <xf numFmtId="3" fontId="6" fillId="0" borderId="1" pivotButton="0" quotePrefix="0" xfId="0"/>
    <xf numFmtId="164" fontId="5" fillId="0" borderId="1" pivotButton="0" quotePrefix="0" xfId="0"/>
    <xf numFmtId="10" fontId="6" fillId="3" borderId="1" pivotButton="0" quotePrefix="0" xfId="0"/>
    <xf numFmtId="10" fontId="6" fillId="0" borderId="1" pivotButton="0" quotePrefix="0" xfId="0"/>
    <xf numFmtId="165" fontId="6" fillId="3" borderId="1" pivotButton="0" quotePrefix="0" xfId="0"/>
    <xf numFmtId="164" fontId="6" fillId="0" borderId="1" pivotButton="0" quotePrefix="0" xfId="0"/>
    <xf numFmtId="0" fontId="0" fillId="0" borderId="0" applyAlignment="1" pivotButton="0" quotePrefix="0" xfId="0">
      <alignment vertical="center" wrapText="1"/>
    </xf>
    <xf numFmtId="166" fontId="6" fillId="3" borderId="1" pivotButton="0" quotePrefix="0" xfId="0"/>
    <xf numFmtId="0" fontId="3" fillId="2" borderId="0" applyAlignment="1" pivotButton="0" quotePrefix="0" xfId="0">
      <alignment horizontal="left" wrapText="1"/>
    </xf>
    <xf numFmtId="0" fontId="3" fillId="2" borderId="0" applyAlignment="1" pivotButton="0" quotePrefix="0" xfId="0">
      <alignment horizontal="center" wrapText="1"/>
    </xf>
    <xf numFmtId="167" fontId="6" fillId="0" borderId="0" pivotButton="0" quotePrefix="0" xfId="0"/>
    <xf numFmtId="164" fontId="6" fillId="3" borderId="0" pivotButton="0" quotePrefix="0" xfId="0"/>
    <xf numFmtId="164" fontId="5" fillId="0" borderId="0" pivotButton="0" quotePrefix="0" xfId="0"/>
    <xf numFmtId="164" fontId="6" fillId="0" borderId="0" pivotButton="0" quotePrefix="0" xfId="0"/>
    <xf numFmtId="168" fontId="6" fillId="0" borderId="0" pivotButton="0" quotePrefix="0" xfId="0"/>
    <xf numFmtId="164" fontId="4" fillId="4" borderId="1" pivotButton="0" quotePrefix="0" xfId="0"/>
    <xf numFmtId="164" fontId="4" fillId="5" borderId="1" pivotButton="0" quotePrefix="0" xfId="0"/>
    <xf numFmtId="164" fontId="7" fillId="4" borderId="0" pivotButton="0" quotePrefix="0" xfId="0"/>
    <xf numFmtId="10" fontId="5" fillId="0" borderId="0" pivotButton="0" quotePrefix="0" xfId="0"/>
    <xf numFmtId="164" fontId="4" fillId="0" borderId="1" pivotButton="0" quotePrefix="0" xfId="0"/>
    <xf numFmtId="168" fontId="4" fillId="0" borderId="1" pivotButton="0" quotePrefix="0" xfId="0"/>
    <xf numFmtId="0" fontId="4" fillId="0" borderId="0" applyAlignment="1" pivotButton="0" quotePrefix="0" xfId="0">
      <alignment horizontal="center"/>
    </xf>
    <xf numFmtId="3" fontId="5" fillId="0" borderId="0" pivotButton="0" quotePrefix="0" xfId="0"/>
    <xf numFmtId="168" fontId="5" fillId="0" borderId="0" pivotButton="0" quotePrefix="0" xfId="0"/>
    <xf numFmtId="166" fontId="4" fillId="3" borderId="1" pivotButton="0" quotePrefix="0" xfId="0"/>
    <xf numFmtId="3" fontId="6" fillId="0" borderId="0" pivotButton="0" quotePrefix="0" xfId="0"/>
    <xf numFmtId="164" fontId="4" fillId="0" borderId="0" pivotButton="0" quotePrefix="0" xfId="0"/>
    <xf numFmtId="168" fontId="4" fillId="0" borderId="0" pivotButton="0" quotePrefix="0" xfId="0"/>
    <xf numFmtId="0" fontId="5" fillId="5" borderId="0" pivotButton="0" quotePrefix="0" xfId="0"/>
    <xf numFmtId="164" fontId="6" fillId="5" borderId="0" pivotButton="0" quotePrefix="0" xfId="0"/>
    <xf numFmtId="3" fontId="6" fillId="5" borderId="0" pivotButton="0" quotePrefix="0" xfId="0"/>
    <xf numFmtId="164" fontId="5" fillId="5" borderId="0" pivotButton="0" quotePrefix="0" xfId="0"/>
    <xf numFmtId="164" fontId="4" fillId="5" borderId="0" pivotButton="0" quotePrefix="0" xfId="0"/>
    <xf numFmtId="168" fontId="4" fillId="5" borderId="0" pivotButton="0" quotePrefix="0" xfId="0"/>
    <xf numFmtId="0" fontId="4" fillId="5" borderId="0" applyAlignment="1" pivotButton="0" quotePrefix="0" xfId="0">
      <alignment horizontal="center"/>
    </xf>
    <xf numFmtId="164" fontId="4" fillId="3" borderId="1" pivotButton="0" quotePrefix="0" xfId="0"/>
    <xf numFmtId="3" fontId="7" fillId="0" borderId="0" pivotButton="0" quotePrefix="0" xfId="0"/>
    <xf numFmtId="165" fontId="3" fillId="2" borderId="0" applyAlignment="1" pivotButton="0" quotePrefix="0" xfId="0">
      <alignment horizontal="center"/>
    </xf>
    <xf numFmtId="168" fontId="5" fillId="0" borderId="0" applyAlignment="1" pivotButton="0" quotePrefix="0" xfId="0">
      <alignment horizontal="center"/>
    </xf>
    <xf numFmtId="2" fontId="6" fillId="3" borderId="0" pivotButton="0" quotePrefix="0" xfId="0"/>
    <xf numFmtId="0" fontId="5" fillId="0" borderId="0" applyAlignment="1" pivotButton="0" quotePrefix="0" xfId="0">
      <alignment horizontal="center"/>
    </xf>
    <xf numFmtId="165" fontId="5" fillId="0" borderId="0" pivotButton="0" quotePrefix="0" xfId="0"/>
    <xf numFmtId="165" fontId="4" fillId="0" borderId="0" pivotButton="0" quotePrefix="0" xfId="0"/>
    <xf numFmtId="3" fontId="4" fillId="4" borderId="1" pivotButton="0" quotePrefix="0" xfId="0"/>
    <xf numFmtId="165" fontId="4" fillId="4" borderId="1" pivotButton="0" quotePrefix="0" xfId="0"/>
    <xf numFmtId="165" fontId="6" fillId="0" borderId="0" pivotButton="0" quotePrefix="0" xfId="0"/>
    <xf numFmtId="165" fontId="4" fillId="3" borderId="1" pivotButton="0" quotePrefix="0" xfId="0"/>
    <xf numFmtId="164" fontId="7" fillId="0" borderId="0" pivotButton="0" quotePrefix="0" xfId="0"/>
    <xf numFmtId="168" fontId="7" fillId="0" borderId="0" pivotButton="0" quotePrefix="0" xfId="0"/>
    <xf numFmtId="165" fontId="6" fillId="3" borderId="0" pivotButton="0" quotePrefix="0" xfId="0"/>
    <xf numFmtId="10" fontId="6" fillId="0" borderId="0" pivotButton="0" quotePrefix="0" xfId="0"/>
    <xf numFmtId="10" fontId="6" fillId="3" borderId="0" pivotButton="0" quotePrefix="0" xfId="0"/>
    <xf numFmtId="169" fontId="6" fillId="0" borderId="0" pivotButton="0" quotePrefix="0" xfId="0"/>
    <xf numFmtId="0" fontId="3" fillId="2" borderId="0" applyAlignment="1" pivotButton="0" quotePrefix="0" xfId="0">
      <alignment vertical="center" wrapText="1"/>
    </xf>
    <xf numFmtId="170" fontId="5" fillId="0" borderId="0" pivotButton="0" quotePrefix="0" xfId="0"/>
    <xf numFmtId="166" fontId="5" fillId="0" borderId="0" pivotButton="0" quotePrefix="0" xfId="0"/>
    <xf numFmtId="0" fontId="5" fillId="0" borderId="0" applyAlignment="1" pivotButton="0" quotePrefix="0" xfId="0">
      <alignment vertical="center" wrapText="1"/>
    </xf>
    <xf numFmtId="0" fontId="4" fillId="4" borderId="1" pivotButton="0" quotePrefix="0" xfId="0"/>
    <xf numFmtId="0" fontId="5" fillId="0" borderId="1" applyAlignment="1" pivotButton="0" quotePrefix="0" xfId="0">
      <alignment vertical="center" wrapText="1"/>
    </xf>
    <xf numFmtId="168" fontId="5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name val="Arial"/>
        <color rgb="00B3261E"/>
        <sz val="10"/>
      </font>
      <fill>
        <patternFill patternType="solid">
          <bgColor rgb="00FCECEA"/>
        </patternFill>
      </fill>
    </dxf>
    <dxf>
      <fill>
        <patternFill patternType="solid">
          <bgColor rgb="00FBF1E0"/>
        </patternFill>
      </fill>
    </dxf>
    <dxf>
      <font>
        <name val="Arial"/>
        <b val="1"/>
        <color rgb="0012795A"/>
        <sz val="10"/>
      </font>
      <fill>
        <patternFill patternType="solid">
          <bgColor rgb="00E8F4E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8" customWidth="1" min="2" max="2"/>
  </cols>
  <sheetData>
    <row r="1">
      <c r="A1" s="1" t="inlineStr">
        <is>
          <t>ESTUDO DE VIABILIDADE — KITS DE CAMISETAS BÁSICAS EM MARKETPLACES</t>
        </is>
      </c>
    </row>
    <row r="2">
      <c r="A2" s="2" t="inlineStr">
        <is>
          <t>Modelo financeiro · Roberto Monte Fusco · Revisão 01 · agosto de 2026</t>
        </is>
      </c>
    </row>
    <row r="4">
      <c r="A4" s="3" t="inlineStr">
        <is>
          <t>COMO USAR</t>
        </is>
      </c>
      <c r="B4" s="3" t="n"/>
    </row>
    <row r="5">
      <c r="A5" s="4" t="inlineStr">
        <is>
          <t>Passo 1</t>
        </is>
      </c>
      <c r="B5" s="5" t="inlineStr">
        <is>
          <t>Abra a aba "Premissas" e substitua os números AZUIS pelos dados reais da fábrica. Comece pelo custo por peça.</t>
        </is>
      </c>
    </row>
    <row r="6">
      <c r="A6" s="4" t="inlineStr">
        <is>
          <t>Passo 2</t>
        </is>
      </c>
      <c r="B6" s="5" t="inlineStr">
        <is>
          <t>Todo o restante do modelo recalcula sozinho. Não edite células pretas — são fórmulas.</t>
        </is>
      </c>
    </row>
    <row r="7" ht="30" customHeight="1">
      <c r="A7" s="4" t="inlineStr">
        <is>
          <t>Passo 3</t>
        </is>
      </c>
      <c r="B7" s="5" t="inlineStr">
        <is>
          <t>A aba "Calculadora" mostra a margem por plataforma. A aba "Sensibilidade" mostra o que acontece quando custo e preço mudam juntos.</t>
        </is>
      </c>
    </row>
    <row r="8" ht="30" customHeight="1">
      <c r="A8" s="4" t="inlineStr">
        <is>
          <t>Passo 4</t>
        </is>
      </c>
      <c r="B8" s="5" t="inlineStr">
        <is>
          <t>A aba "Projecao" projeta 12 meses. Os volumes em azul são premissas de rampa — troque-os pelos seus números assim que houver histórico.</t>
        </is>
      </c>
    </row>
    <row r="10">
      <c r="A10" s="3" t="inlineStr">
        <is>
          <t>LEGENDA DE CORES</t>
        </is>
      </c>
      <c r="B10" s="3" t="n"/>
    </row>
    <row r="11">
      <c r="A11" s="4" t="inlineStr">
        <is>
          <t>Azul</t>
        </is>
      </c>
      <c r="B11" s="5" t="inlineStr">
        <is>
          <t>Você edita. É um dado de entrada ou uma premissa.</t>
        </is>
      </c>
    </row>
    <row r="12">
      <c r="A12" s="6" t="inlineStr">
        <is>
          <t>Preto</t>
        </is>
      </c>
      <c r="B12" s="5" t="inlineStr">
        <is>
          <t>Fórmula. Não edite — o modelo se quebra.</t>
        </is>
      </c>
    </row>
    <row r="13">
      <c r="A13" s="7" t="inlineStr">
        <is>
          <t>Verde</t>
        </is>
      </c>
      <c r="B13" s="5" t="inlineStr">
        <is>
          <t>Referência a outra aba desta planilha.</t>
        </is>
      </c>
    </row>
    <row r="14">
      <c r="A14" s="8" t="inlineStr">
        <is>
          <t>Fundo amarelo</t>
        </is>
      </c>
      <c r="B14" s="5" t="inlineStr">
        <is>
          <t>Premissa crítica: um erro aqui distorce todo o resultado.</t>
        </is>
      </c>
    </row>
    <row r="15">
      <c r="A15" s="9" t="n"/>
    </row>
    <row r="16">
      <c r="A16" s="3" t="inlineStr">
        <is>
          <t>O QUE ESTE MODELO RESPONDE</t>
        </is>
      </c>
      <c r="B16" s="3" t="n"/>
    </row>
    <row r="17" ht="30" customHeight="1">
      <c r="A17" s="4" t="inlineStr">
        <is>
          <t>Margem de contribuição</t>
        </is>
      </c>
      <c r="B17" s="5" t="inlineStr">
        <is>
          <t>O que sobra de cada kit vendido depois de comissão, taxa fixa, frete, mídia, imposto, provisão de devolução e custo de fabricação — antes dos custos fixos da estrutura.</t>
        </is>
      </c>
    </row>
    <row r="18">
      <c r="A18" s="4" t="inlineStr">
        <is>
          <t>Ponto de equilíbrio</t>
        </is>
      </c>
      <c r="B18" s="5" t="inlineStr">
        <is>
          <t>Quantos kits por mês são necessários para cobrir o custo fixo mensal.</t>
        </is>
      </c>
    </row>
    <row r="19">
      <c r="A19" s="4" t="inlineStr">
        <is>
          <t>ROAS de equilíbrio</t>
        </is>
      </c>
      <c r="B19" s="5" t="inlineStr">
        <is>
          <t>O retorno mínimo sobre a verba de mídia para a loja própria não dar prejuízo.</t>
        </is>
      </c>
    </row>
    <row r="20">
      <c r="A20" s="4" t="inlineStr">
        <is>
          <t>Custo máximo viável</t>
        </is>
      </c>
      <c r="B20" s="5" t="inlineStr">
        <is>
          <t>Na aba Cenarios: o custo por peça acima do qual o kit de 5 a R$ 99 passa a dar prejuízo.</t>
        </is>
      </c>
    </row>
    <row r="22">
      <c r="A22" s="3" t="inlineStr">
        <is>
          <t>O QUE ELE NÃO RESPONDE</t>
        </is>
      </c>
      <c r="B22" s="3" t="n"/>
    </row>
    <row r="23" ht="30" customHeight="1">
      <c r="A23" s="4" t="inlineStr">
        <is>
          <t>Não é consultoria fiscal</t>
        </is>
      </c>
      <c r="B23" s="5" t="inlineStr">
        <is>
          <t>As alíquotas do Simples Nacional são as tabelas públicas de 2026. O enquadramento do CNAE e a decisão de setembro de 2026 sobre IBS e CBS devem ser validados com o contador.</t>
        </is>
      </c>
    </row>
    <row r="24" ht="30" customHeight="1">
      <c r="A24" s="4" t="inlineStr">
        <is>
          <t>Não prevê demanda</t>
        </is>
      </c>
      <c r="B24" s="5" t="inlineStr">
        <is>
          <t>Os volumes da aba Projecao são premissas de rampa típica, não previsão. Substitua por dados de Nubimetrics e Kalodata antes de decidir o investimento.</t>
        </is>
      </c>
    </row>
    <row r="25" ht="30" customHeight="1">
      <c r="A25" s="4" t="inlineStr">
        <is>
          <t>Custos de fabricação</t>
        </is>
      </c>
      <c r="B25" s="5" t="inlineStr">
        <is>
          <t>A aba "Ficha de Custo" traz estimativas de mercado calibradas por consumo de malha e preços de atacado de 2026. NÃO são os custos da sua fábrica — troque-os.</t>
        </is>
      </c>
    </row>
    <row r="27">
      <c r="A27" s="3" t="inlineStr">
        <is>
          <t>FONTES DAS TAXAS</t>
        </is>
      </c>
      <c r="B27" s="3" t="n"/>
    </row>
    <row r="28" ht="30" customHeight="1">
      <c r="A28" s="4" t="inlineStr">
        <is>
          <t>Mercado Livre</t>
        </is>
      </c>
      <c r="B28" s="5" t="inlineStr">
        <is>
          <t>Tabela de comissões 2026 — Moda: 14% no Clássico e 19% no Premium. Mudança de 02/03/2026: a taxa fixa abaixo de R$ 79 virou custo logístico variável por peso e dimensão, e a tarifa logística passou a incidir em toda venda.</t>
        </is>
      </c>
    </row>
    <row r="29" ht="30" customHeight="1">
      <c r="A29" s="4" t="inlineStr">
        <is>
          <t>Shopee</t>
        </is>
      </c>
      <c r="B29" s="5" t="inlineStr">
        <is>
          <t>Tabela de março de 2026 por faixa de preço. Fim do teto de comissão de R$ 100 por item e Programa de Frete Grátis obrigatório.</t>
        </is>
      </c>
    </row>
    <row r="30" ht="30" customHeight="1">
      <c r="A30" s="4" t="inlineStr">
        <is>
          <t>TikTok Shop</t>
        </is>
      </c>
      <c r="B30" s="5" t="inlineStr">
        <is>
          <t>Tabela de 15/07/2026: abaixo de R$ 50 a comissão é 10%; a partir de R$ 50, 6% mais R$ 6 por item. Programa de frete grátis: 6% sobre o produto.</t>
        </is>
      </c>
    </row>
    <row r="31" ht="30" customHeight="1">
      <c r="A31" s="4" t="inlineStr">
        <is>
          <t>Simples Nacional</t>
        </is>
      </c>
      <c r="B31" s="5" t="inlineStr">
        <is>
          <t>Tabelas de 2026, Anexos I (Comércio) e II (Indústria), inalteradas em relação a 2025. A Reforma Tributária está em ano de teste, sem efeito no DAS de 2026.</t>
        </is>
      </c>
    </row>
    <row r="32" ht="30" customHeight="1">
      <c r="A32" s="4" t="inlineStr">
        <is>
          <t>Mídia</t>
        </is>
      </c>
      <c r="B32" s="5" t="inlineStr">
        <is>
          <t>O Meta Ads no Brasil ficou 12,15% mais caro em 01/01/2026 pelo repasse de PIS/Cofins e ISS. CPM de feed entre R$ 15 e R$ 35; CPC de moda no Google entre R$ 1,50 e R$ 4,00.</t>
        </is>
      </c>
    </row>
    <row r="34">
      <c r="A34" s="4" t="inlineStr">
        <is>
          <t>Detalhe completo das tabelas</t>
        </is>
      </c>
      <c r="B34" s="5" t="inlineStr">
        <is>
          <t>Ver a aba "Taxas 2026".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78" customWidth="1" min="3" max="3"/>
  </cols>
  <sheetData>
    <row r="1">
      <c r="A1" s="1" t="inlineStr">
        <is>
          <t>PREMISSAS DO MODELO</t>
        </is>
      </c>
    </row>
    <row r="2">
      <c r="A2" s="2" t="inlineStr">
        <is>
          <t>Edite apenas as células AZUIS. As amarelas são as que mais mexem no resultado.</t>
        </is>
      </c>
    </row>
    <row r="4">
      <c r="A4" s="3" t="inlineStr">
        <is>
          <t>PRODUTO</t>
        </is>
      </c>
      <c r="B4" s="3" t="n"/>
      <c r="C4" s="3" t="n"/>
    </row>
    <row r="5">
      <c r="A5" s="7" t="inlineStr">
        <is>
          <t>Custo de fabricação por peça</t>
        </is>
      </c>
      <c r="B5" s="10" t="n">
        <v>22.06</v>
      </c>
      <c r="C5" s="11" t="inlineStr">
        <is>
          <t>Linha Essencial (algodão penteado 30.1, 180 g/m²). SUBSTITUA pelo custo real da fábrica — ver aba Ficha de Custo.</t>
        </is>
      </c>
    </row>
    <row r="6">
      <c r="A6" s="7" t="inlineStr">
        <is>
          <t>Peças por kit</t>
        </is>
      </c>
      <c r="B6" s="12" t="n">
        <v>3</v>
      </c>
      <c r="C6" s="11" t="inlineStr">
        <is>
          <t>Kit de 3 peças é o formato recomendado pelo estudo.</t>
        </is>
      </c>
    </row>
    <row r="7">
      <c r="A7" s="7" t="inlineStr">
        <is>
          <t>Preço de venda do kit</t>
        </is>
      </c>
      <c r="B7" s="10" t="n">
        <v>169</v>
      </c>
      <c r="C7" s="11" t="inlineStr">
        <is>
          <t>Preço ao consumidor final, o mesmo em todas as plataformas.</t>
        </is>
      </c>
    </row>
    <row r="8">
      <c r="A8" s="7" t="inlineStr">
        <is>
          <t>CMV do kit</t>
        </is>
      </c>
      <c r="B8" s="13">
        <f>B5*B6</f>
        <v/>
      </c>
      <c r="C8" s="11" t="inlineStr">
        <is>
          <t>Custo das mercadorias vendidas = custo por peça × peças por kit.</t>
        </is>
      </c>
    </row>
    <row r="9">
      <c r="A9" s="7" t="inlineStr">
        <is>
          <t>Preço por peça ao consumidor</t>
        </is>
      </c>
      <c r="B9" s="13">
        <f>B7/B6</f>
        <v/>
      </c>
      <c r="C9" s="11" t="inlineStr">
        <is>
          <t>Referência de comparação: Hering a R$ 49 e Insider a ~R$ 160 por peça em 2026.</t>
        </is>
      </c>
    </row>
    <row r="11">
      <c r="A11" s="3" t="inlineStr">
        <is>
          <t>COMUM A TODOS OS CANAIS</t>
        </is>
      </c>
      <c r="B11" s="3" t="n"/>
      <c r="C11" s="3" t="n"/>
    </row>
    <row r="12">
      <c r="A12" s="7" t="inlineStr">
        <is>
          <t>Simples Nacional — alíquota efetiva</t>
        </is>
      </c>
      <c r="B12" s="14" t="n">
        <v>0.045</v>
      </c>
      <c r="C12" s="11" t="inlineStr">
        <is>
          <t>Anexo II (Indústria), 1ª faixa, até R$ 180 mil de receita em 12 meses. Anexo I (Comércio) seria 4,00%.</t>
        </is>
      </c>
    </row>
    <row r="13">
      <c r="A13" s="7" t="inlineStr">
        <is>
          <t>Provisão de devolução</t>
        </is>
      </c>
      <c r="B13" s="15" t="n">
        <v>0.05</v>
      </c>
      <c r="C13" s="11" t="inlineStr">
        <is>
          <t>Devolução em moda online fica entre 30% e 40% dos pedidos; esta linha provisiona a PERDA LÍQUIDA, não a taxa de devolução.</t>
        </is>
      </c>
    </row>
    <row r="14">
      <c r="A14" s="7" t="inlineStr">
        <is>
          <t>Custo fixo mensal da operação</t>
        </is>
      </c>
      <c r="B14" s="16" t="n">
        <v>13000</v>
      </c>
      <c r="C14" s="11" t="inlineStr">
        <is>
          <t>Equipe, sistemas, contabilidade, conteúdo. Não inclui pró-labore.</t>
        </is>
      </c>
    </row>
    <row r="16">
      <c r="A16" s="3" t="inlineStr">
        <is>
          <t>MERCADO LIVRE</t>
        </is>
      </c>
      <c r="B16" s="3" t="n"/>
      <c r="C16" s="3" t="n"/>
    </row>
    <row r="17">
      <c r="A17" s="7" t="inlineStr">
        <is>
          <t>Comissão — categoria Moda</t>
        </is>
      </c>
      <c r="B17" s="15" t="n">
        <v>0.14</v>
      </c>
      <c r="C17" s="11" t="inlineStr">
        <is>
          <t>Clássico = 14%. Premium = 19% (inclui 12x sem juros e mais exposição).</t>
        </is>
      </c>
    </row>
    <row r="18">
      <c r="A18" s="7" t="inlineStr">
        <is>
          <t>Frete líquido pago pelo vendedor</t>
        </is>
      </c>
      <c r="B18" s="17" t="n">
        <v>19</v>
      </c>
      <c r="C18" s="11" t="inlineStr">
        <is>
          <t>Já líquido do subsídio do ML. Aplica-se apenas quando o preço é igual ou maior que R$ 79 (frete grátis obrigatório).</t>
        </is>
      </c>
    </row>
    <row r="19">
      <c r="A19" s="7" t="inlineStr">
        <is>
          <t>Tarifa logística — itens abaixo de R$ 79</t>
        </is>
      </c>
      <c r="B19" s="17" t="n">
        <v>6.5</v>
      </c>
      <c r="C19" s="11" t="inlineStr">
        <is>
          <t>Desde 02/03/2026 é variável por peso e dimensão. Aplica-se apenas quando o preço é menor que R$ 79.</t>
        </is>
      </c>
    </row>
    <row r="20">
      <c r="A20" s="7" t="inlineStr">
        <is>
          <t>ACOS — Product Ads</t>
        </is>
      </c>
      <c r="B20" s="15" t="n">
        <v>0.06</v>
      </c>
      <c r="C20" s="11" t="inlineStr">
        <is>
          <t>Percentual da receita gasto em mídia dentro do ML. Anúncio novo não sai da página 4 sem isso.</t>
        </is>
      </c>
    </row>
    <row r="22">
      <c r="A22" s="3" t="inlineStr">
        <is>
          <t>SHOPEE</t>
        </is>
      </c>
      <c r="B22" s="3" t="n"/>
      <c r="C22" s="3" t="n"/>
    </row>
    <row r="23">
      <c r="A23" s="7" t="inlineStr">
        <is>
          <t>Frete pago pelo vendedor</t>
        </is>
      </c>
      <c r="B23" s="17" t="n">
        <v>0</v>
      </c>
      <c r="C23" s="11" t="inlineStr">
        <is>
          <t>Zero no fluxo padrão: desde março/2026 o Programa de Frete Grátis é obrigatório e está embutido na comissão.</t>
        </is>
      </c>
    </row>
    <row r="24">
      <c r="A24" s="7" t="inlineStr">
        <is>
          <t>ACOS — Shopee Ads</t>
        </is>
      </c>
      <c r="B24" s="15" t="n">
        <v>0.08</v>
      </c>
      <c r="C24" s="11" t="inlineStr">
        <is>
          <t>Percentual da receita gasto em mídia dentro da Shopee.</t>
        </is>
      </c>
    </row>
    <row r="25">
      <c r="A25" s="7" t="inlineStr">
        <is>
          <t>Campanha de destaque — adicional</t>
        </is>
      </c>
      <c r="B25" s="15" t="n">
        <v>0</v>
      </c>
      <c r="C25" s="11" t="inlineStr">
        <is>
          <t>Use 2,50% se participar de campanha de destaque; 0% caso contrário.</t>
        </is>
      </c>
    </row>
    <row r="27">
      <c r="A27" s="3" t="inlineStr">
        <is>
          <t>TIKTOK SHOP</t>
        </is>
      </c>
      <c r="B27" s="3" t="n"/>
      <c r="C27" s="3" t="n"/>
    </row>
    <row r="28">
      <c r="A28" s="7" t="inlineStr">
        <is>
          <t>Programa de frete grátis</t>
        </is>
      </c>
      <c r="B28" s="15" t="n">
        <v>0.06</v>
      </c>
      <c r="C28" s="11" t="inlineStr">
        <is>
          <t>6% sobre o valor do produto. Inalterado na revisão de 15/07/2026.</t>
        </is>
      </c>
    </row>
    <row r="29">
      <c r="A29" s="7" t="inlineStr">
        <is>
          <t>Comissão de afiliado</t>
        </is>
      </c>
      <c r="B29" s="14" t="n">
        <v>0.15</v>
      </c>
      <c r="C29" s="11" t="inlineStr">
        <is>
          <t>Definida por SKU pelo vendedor. Em roupas e acessórios a prática do mercado é 10% a 20%.</t>
        </is>
      </c>
    </row>
    <row r="30">
      <c r="A30" s="7" t="inlineStr">
        <is>
          <t>ACOS — anúncios</t>
        </is>
      </c>
      <c r="B30" s="15" t="n">
        <v>0.05</v>
      </c>
      <c r="C30" s="11" t="inlineStr">
        <is>
          <t>Mídia paga dentro da plataforma, além da comissão de afiliado.</t>
        </is>
      </c>
    </row>
    <row r="32">
      <c r="A32" s="3" t="inlineStr">
        <is>
          <t>LOJA PRÓPRIA</t>
        </is>
      </c>
      <c r="B32" s="3" t="n"/>
      <c r="C32" s="3" t="n"/>
    </row>
    <row r="33">
      <c r="A33" s="7" t="inlineStr">
        <is>
          <t>Gateway de pagamento</t>
        </is>
      </c>
      <c r="B33" s="15" t="n">
        <v>0.0499</v>
      </c>
      <c r="C33" s="11" t="inlineStr">
        <is>
          <t>Crédito à vista. Débito costuma ser ~3,99% e parcelado ~5,99%.</t>
        </is>
      </c>
    </row>
    <row r="34">
      <c r="A34" s="7" t="inlineStr">
        <is>
          <t>Gateway — taxa fixa por pedido</t>
        </is>
      </c>
      <c r="B34" s="17" t="n">
        <v>0.39</v>
      </c>
      <c r="C34" s="18" t="n"/>
    </row>
    <row r="35">
      <c r="A35" s="7" t="inlineStr">
        <is>
          <t>Frete pago pela loja</t>
        </is>
      </c>
      <c r="B35" s="17" t="n">
        <v>19</v>
      </c>
      <c r="C35" s="18" t="n"/>
    </row>
    <row r="36">
      <c r="A36" s="7" t="inlineStr">
        <is>
          <t>Plataforma e apps por pedido</t>
        </is>
      </c>
      <c r="B36" s="17" t="n">
        <v>1.57</v>
      </c>
      <c r="C36" s="11" t="inlineStr">
        <is>
          <t>Mensalidade da plataforma e apps rateada pelo volume de pedidos. Ex.: R$ 314/mês ÷ 200 pedidos.</t>
        </is>
      </c>
    </row>
    <row r="37">
      <c r="A37" s="7" t="inlineStr">
        <is>
          <t>ROAS da mídia</t>
        </is>
      </c>
      <c r="B37" s="19" t="n">
        <v>3</v>
      </c>
      <c r="C37" s="11" t="inlineStr">
        <is>
          <t>Receita dividida pela verba. A mediana de e-commerce em Meta Ads é 1,93x.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1" t="inlineStr">
        <is>
          <t>FICHA TÉCNICA DE CUSTO — TRÊS LINHAS DE PRODUTO</t>
        </is>
      </c>
    </row>
    <row r="2">
      <c r="A2" s="2" t="inlineStr">
        <is>
          <t>Estimativas de mercado calibradas por consumo de malha e preços de atacado de 2026. SUBSTITUA pelos custos reais da fábrica.</t>
        </is>
      </c>
    </row>
    <row r="4">
      <c r="A4" s="20" t="inlineStr">
        <is>
          <t>Componente</t>
        </is>
      </c>
      <c r="B4" s="21" t="inlineStr">
        <is>
          <t>Linha Popular</t>
        </is>
      </c>
      <c r="C4" s="21" t="inlineStr">
        <is>
          <t>Linha Essencial</t>
        </is>
      </c>
      <c r="D4" s="21" t="inlineStr">
        <is>
          <t>Linha Fibra Longa</t>
        </is>
      </c>
      <c r="E4" s="21" t="inlineStr">
        <is>
          <t>Observação</t>
        </is>
      </c>
    </row>
    <row r="5" ht="30" customHeight="1">
      <c r="A5" s="4" t="inlineStr">
        <is>
          <t>Composição</t>
        </is>
      </c>
      <c r="B5" s="11" t="inlineStr">
        <is>
          <t>PV 67/33 ou cardado · 140 g/m²</t>
        </is>
      </c>
      <c r="C5" s="11" t="inlineStr">
        <is>
          <t>100% algodão penteado 30.1 · 180 g/m²</t>
        </is>
      </c>
      <c r="D5" s="11" t="inlineStr">
        <is>
          <t>Pima ou egípcio · 165 g/m² · fibra 35mm+</t>
        </is>
      </c>
    </row>
    <row r="6">
      <c r="A6" s="7" t="inlineStr">
        <is>
          <t>Consumo de malha (kg/peça)</t>
        </is>
      </c>
      <c r="B6" s="22" t="n">
        <v>0.175</v>
      </c>
      <c r="C6" s="22" t="n">
        <v>0.215</v>
      </c>
      <c r="D6" s="22" t="n">
        <v>0.2</v>
      </c>
      <c r="E6" s="11" t="inlineStr">
        <is>
          <t>Peso da peça acabada mais ~10% de perda de encaixe. Consumo de referência: 0,80 m de meia-malha 30.1 por camiseta.</t>
        </is>
      </c>
    </row>
    <row r="7">
      <c r="A7" s="7" t="inlineStr">
        <is>
          <t>Preço da malha (R$/kg)</t>
        </is>
      </c>
      <c r="B7" s="23" t="n">
        <v>27</v>
      </c>
      <c r="C7" s="23" t="n">
        <v>48</v>
      </c>
      <c r="D7" s="23" t="n">
        <v>88</v>
      </c>
      <c r="E7" s="11" t="inlineStr">
        <is>
          <t>Atacado 2026. Esta é a variável de maior impacto no custo — confirme com o seu fornecedor.</t>
        </is>
      </c>
    </row>
    <row r="8">
      <c r="A8" s="7" t="inlineStr">
        <is>
          <t>Malha</t>
        </is>
      </c>
      <c r="B8" s="24">
        <f>B6*B7</f>
        <v/>
      </c>
      <c r="C8" s="24">
        <f>C6*C7</f>
        <v/>
      </c>
      <c r="D8" s="24">
        <f>D6*D7</f>
        <v/>
      </c>
      <c r="E8" s="11" t="inlineStr">
        <is>
          <t>Consumo × preço por quilo.</t>
        </is>
      </c>
    </row>
    <row r="9">
      <c r="A9" s="7" t="inlineStr">
        <is>
          <t>Gola, ribana e aviamentos</t>
        </is>
      </c>
      <c r="B9" s="25" t="n">
        <v>0.9</v>
      </c>
      <c r="C9" s="25" t="n">
        <v>1.8</v>
      </c>
      <c r="D9" s="25" t="n">
        <v>2.6</v>
      </c>
      <c r="E9" s="11" t="inlineStr">
        <is>
          <t>Na linha Essencial inclui etiqueta tecida.</t>
        </is>
      </c>
    </row>
    <row r="10">
      <c r="A10" s="7" t="inlineStr">
        <is>
          <t>Facção — corte, costura e acabamento</t>
        </is>
      </c>
      <c r="B10" s="25" t="n">
        <v>4.2</v>
      </c>
      <c r="C10" s="25" t="n">
        <v>7.2</v>
      </c>
      <c r="D10" s="25" t="n">
        <v>9.5</v>
      </c>
      <c r="E10" s="11" t="inlineStr">
        <is>
          <t>Se a fábrica tiver capacidade ociosa, o custo marginal real é menor — ver observação abaixo.</t>
        </is>
      </c>
    </row>
    <row r="11">
      <c r="A11" s="7" t="inlineStr">
        <is>
          <t>Embalagem</t>
        </is>
      </c>
      <c r="B11" s="25" t="n">
        <v>0.8</v>
      </c>
      <c r="C11" s="25" t="n">
        <v>2.1</v>
      </c>
      <c r="D11" s="25" t="n">
        <v>4</v>
      </c>
      <c r="E11" s="11" t="inlineStr">
        <is>
          <t>Saco individual, cinta e caixa do kit rateada.</t>
        </is>
      </c>
    </row>
    <row r="12">
      <c r="A12" s="7" t="inlineStr">
        <is>
          <t>Perdas e 2ª qualidade (%)</t>
        </is>
      </c>
      <c r="B12" s="26" t="n">
        <v>0.03</v>
      </c>
      <c r="C12" s="26" t="n">
        <v>0.03</v>
      </c>
      <c r="D12" s="26" t="n">
        <v>0.03</v>
      </c>
      <c r="E12" s="11" t="inlineStr">
        <is>
          <t>Aplicado sobre a soma dos componentes acima.</t>
        </is>
      </c>
    </row>
    <row r="13">
      <c r="A13" s="7" t="inlineStr">
        <is>
          <t>Perdas e 2ª qualidade (R$)</t>
        </is>
      </c>
      <c r="B13" s="24">
        <f>SUM(B8:B11)*B12</f>
        <v/>
      </c>
      <c r="C13" s="24">
        <f>SUM(C8:C11)*C12</f>
        <v/>
      </c>
      <c r="D13" s="24">
        <f>SUM(D8:D11)*D12</f>
        <v/>
      </c>
      <c r="E13" s="18" t="n"/>
    </row>
    <row r="14">
      <c r="A14" s="4" t="inlineStr">
        <is>
          <t>CUSTO TOTAL POR PEÇA</t>
        </is>
      </c>
      <c r="B14" s="27">
        <f>SUM(B8:B11)+B13</f>
        <v/>
      </c>
      <c r="C14" s="28">
        <f>SUM(C8:C11)+C13</f>
        <v/>
      </c>
      <c r="D14" s="27">
        <f>SUM(D8:D11)+D13</f>
        <v/>
      </c>
      <c r="E14" s="11" t="inlineStr">
        <is>
          <t>Copie o valor da linha escolhida para Premissas!B5.</t>
        </is>
      </c>
    </row>
    <row r="15">
      <c r="E15" s="18" t="n"/>
    </row>
    <row r="16">
      <c r="A16" s="7" t="inlineStr">
        <is>
          <t>CMV do kit de 3 peças</t>
        </is>
      </c>
      <c r="B16" s="24">
        <f>B14*3</f>
        <v/>
      </c>
      <c r="C16" s="24">
        <f>C14*3</f>
        <v/>
      </c>
      <c r="D16" s="24">
        <f>D14*3</f>
        <v/>
      </c>
      <c r="E16" s="18" t="n"/>
    </row>
    <row r="17">
      <c r="A17" s="7" t="inlineStr">
        <is>
          <t>CMV do kit de 5 peças</t>
        </is>
      </c>
      <c r="B17" s="24">
        <f>B14*5</f>
        <v/>
      </c>
      <c r="C17" s="24">
        <f>C14*5</f>
        <v/>
      </c>
      <c r="D17" s="24">
        <f>D14*5</f>
        <v/>
      </c>
      <c r="E17" s="11" t="inlineStr">
        <is>
          <t>Compare com o preço pretendido: um kit de 5 em fibra longa custa mais que R$ 170 só de fabricação.</t>
        </is>
      </c>
    </row>
    <row r="20">
      <c r="A20" s="3" t="inlineStr">
        <is>
          <t>DUAS OBSERVAÇÕES QUE MUDAM O RESULTADO</t>
        </is>
      </c>
      <c r="B20" s="3" t="n"/>
      <c r="C20" s="3" t="n"/>
      <c r="D20" s="3" t="n"/>
      <c r="E20" s="3" t="n"/>
    </row>
    <row r="21" ht="46" customHeight="1">
      <c r="A21" s="5" t="inlineStr">
        <is>
          <t>Capacidade ociosa: se a fábrica já roda com folga, o custo marginal da peça é próximo de malha + aviamentos + embalagem, e a facção não deveria ser cobrada integralmente. Nesse caso a margem real fica de 6 a 9 pontos acima do que este modelo mostra. Se a fábrica está cheia, o custo de oportunidade é integral e o modelo está correto.</t>
        </is>
      </c>
    </row>
    <row r="22" ht="46" customHeight="1">
      <c r="A22" s="5" t="inlineStr">
        <is>
          <t>Rotulagem: no Brasil não há fiscalização efetiva do termo "algodão egípcio", e boa parte do que se vende com esse nome é Pima peruano ou blend. Declarar composição que a peça não tem é publicidade enganosa pelo CDC e motivo de remoção de anúncio. Use "100% algodão penteado, fio 30.1, 180 g/m²" — é verificável e converte mais.</t>
        </is>
      </c>
    </row>
  </sheetData>
  <mergeCells count="2">
    <mergeCell ref="A21:E2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66" customWidth="1" min="6" max="6"/>
  </cols>
  <sheetData>
    <row r="1">
      <c r="A1" s="1" t="inlineStr">
        <is>
          <t>CALCULADORA DE MARGEM POR PLATAFORMA</t>
        </is>
      </c>
    </row>
    <row r="2">
      <c r="A2" s="2" t="inlineStr">
        <is>
          <t>Tudo aqui é fórmula e vem da aba Premissas. Para simular, mude os números lá.</t>
        </is>
      </c>
    </row>
    <row r="4">
      <c r="A4" s="20" t="inlineStr">
        <is>
          <t>Rubrica</t>
        </is>
      </c>
      <c r="B4" s="21" t="inlineStr">
        <is>
          <t>Mercado Livre</t>
        </is>
      </c>
      <c r="C4" s="21" t="inlineStr">
        <is>
          <t>Shopee</t>
        </is>
      </c>
      <c r="D4" s="21" t="inlineStr">
        <is>
          <t>TikTok Shop</t>
        </is>
      </c>
      <c r="E4" s="21" t="inlineStr">
        <is>
          <t>Loja própria</t>
        </is>
      </c>
      <c r="F4" s="20" t="inlineStr">
        <is>
          <t>Como é calculado</t>
        </is>
      </c>
    </row>
    <row r="5">
      <c r="A5" s="4" t="inlineStr">
        <is>
          <t>Receita bruta (preço do kit)</t>
        </is>
      </c>
      <c r="B5" s="29">
        <f>Premissas!$B$7</f>
        <v/>
      </c>
      <c r="C5" s="29">
        <f>Premissas!$B$7</f>
        <v/>
      </c>
      <c r="D5" s="29">
        <f>Premissas!$B$7</f>
        <v/>
      </c>
      <c r="E5" s="29">
        <f>Premissas!$B$7</f>
        <v/>
      </c>
      <c r="F5" s="11" t="inlineStr">
        <is>
          <t>Premissas!B7 — mesmo preço em todos os canais, para a comparação ser honesta.</t>
        </is>
      </c>
    </row>
    <row r="6">
      <c r="A6" s="7" t="inlineStr">
        <is>
          <t>Comissão da plataforma (%)</t>
        </is>
      </c>
      <c r="B6" s="30">
        <f>Premissas!$B$17</f>
        <v/>
      </c>
      <c r="C6" s="30">
        <f>IF(B$5&lt;8,0.5,IF(B$5&lt;80,0.2,0.14))+Premissas!$B$25</f>
        <v/>
      </c>
      <c r="D6" s="30">
        <f>IF(B$5&lt;50,0.1,0.06)</f>
        <v/>
      </c>
      <c r="E6" s="30">
        <f>Premissas!$B$33</f>
        <v/>
      </c>
      <c r="F6" s="11" t="inlineStr">
        <is>
          <t>Shopee: tabela por faixa de março/2026 (&lt;R$8: 50% · R$8–79,99: 20% · R$80+: 14%) mais eventual campanha. TikTok: 10% abaixo de R$ 50, 6% a partir de R$ 50.</t>
        </is>
      </c>
    </row>
    <row r="7">
      <c r="A7" s="7" t="inlineStr">
        <is>
          <t>Comissão da plataforma (R$)</t>
        </is>
      </c>
      <c r="B7" s="24">
        <f>B5*B6</f>
        <v/>
      </c>
      <c r="C7" s="24">
        <f>C5*C6</f>
        <v/>
      </c>
      <c r="D7" s="24">
        <f>D5*D6</f>
        <v/>
      </c>
      <c r="E7" s="24">
        <f>E5*E6+Premissas!$B$34</f>
        <v/>
      </c>
      <c r="F7" s="11" t="inlineStr">
        <is>
          <t>Na loja própria inclui a taxa fixa do gateway por pedido.</t>
        </is>
      </c>
    </row>
    <row r="8">
      <c r="A8" s="7" t="inlineStr">
        <is>
          <t>Taxa fixa por item (R$)</t>
        </is>
      </c>
      <c r="B8" s="24">
        <f>IF(B5&lt;79,Premissas!$B$19,0)</f>
        <v/>
      </c>
      <c r="C8" s="24">
        <f>IF(C5&lt;8,0,IF(C5&lt;80,4,IF(C5&lt;100,16,IF(C5&lt;200,20,26))))</f>
        <v/>
      </c>
      <c r="D8" s="24">
        <f>IF(D5&lt;50,0,6)</f>
        <v/>
      </c>
      <c r="E8" s="24">
        <f>Premissas!$B$36</f>
        <v/>
      </c>
      <c r="F8" s="11" t="inlineStr">
        <is>
          <t>ML: tarifa logística só abaixo de R$ 79. Shopee: taxa fixa por faixa. TikTok: R$ 6 a partir de R$ 50. Loja: plataforma rateada.</t>
        </is>
      </c>
    </row>
    <row r="9">
      <c r="A9" s="7" t="inlineStr">
        <is>
          <t>Frete (R$)</t>
        </is>
      </c>
      <c r="B9" s="24">
        <f>IF(B5&gt;=79,Premissas!$B$18,0)</f>
        <v/>
      </c>
      <c r="C9" s="24">
        <f>Premissas!$B$23</f>
        <v/>
      </c>
      <c r="D9" s="24">
        <f>D5*Premissas!$B$28</f>
        <v/>
      </c>
      <c r="E9" s="24">
        <f>Premissas!$B$35</f>
        <v/>
      </c>
      <c r="F9" s="11" t="inlineStr">
        <is>
          <t>ML: frete grátis é obrigatório a partir de R$ 79 e o custo líquido é do vendedor. TikTok: Programa de Frete Grátis a 6% do produto.</t>
        </is>
      </c>
    </row>
    <row r="10">
      <c r="A10" s="7" t="inlineStr">
        <is>
          <t>Mídia e afiliados (R$)</t>
        </is>
      </c>
      <c r="B10" s="24">
        <f>B5*Premissas!$B$20</f>
        <v/>
      </c>
      <c r="C10" s="24">
        <f>C5*Premissas!$B$24</f>
        <v/>
      </c>
      <c r="D10" s="24">
        <f>D5*(Premissas!$B$29+Premissas!$B$30)</f>
        <v/>
      </c>
      <c r="E10" s="24">
        <f>E5/Premissas!$B$37</f>
        <v/>
      </c>
      <c r="F10" s="11" t="inlineStr">
        <is>
          <t>TikTok soma comissão de afiliado e ACOS. Na loja própria, a mídia é o preço dividido pelo ROAS.</t>
        </is>
      </c>
    </row>
    <row r="11">
      <c r="A11" s="7" t="inlineStr">
        <is>
          <t>Imposto (R$)</t>
        </is>
      </c>
      <c r="B11" s="24">
        <f>B5*Premissas!$B$12</f>
        <v/>
      </c>
      <c r="C11" s="24">
        <f>C5*Premissas!$B$12</f>
        <v/>
      </c>
      <c r="D11" s="24">
        <f>D5*Premissas!$B$12</f>
        <v/>
      </c>
      <c r="E11" s="24">
        <f>E5*Premissas!$B$12</f>
        <v/>
      </c>
      <c r="F11" s="18" t="n"/>
    </row>
    <row r="12">
      <c r="A12" s="7" t="inlineStr">
        <is>
          <t>Provisão de devolução (R$)</t>
        </is>
      </c>
      <c r="B12" s="24">
        <f>B5*Premissas!$B$13</f>
        <v/>
      </c>
      <c r="C12" s="24">
        <f>C5*Premissas!$B$13</f>
        <v/>
      </c>
      <c r="D12" s="24">
        <f>D5*Premissas!$B$13</f>
        <v/>
      </c>
      <c r="E12" s="24">
        <f>E5*Premissas!$B$13</f>
        <v/>
      </c>
      <c r="F12" s="18" t="n"/>
    </row>
    <row r="13">
      <c r="A13" s="7" t="inlineStr">
        <is>
          <t>CMV — custo de fabricação (R$)</t>
        </is>
      </c>
      <c r="B13" s="24">
        <f>Premissas!$B$8</f>
        <v/>
      </c>
      <c r="C13" s="24">
        <f>Premissas!$B$8</f>
        <v/>
      </c>
      <c r="D13" s="24">
        <f>Premissas!$B$8</f>
        <v/>
      </c>
      <c r="E13" s="24">
        <f>Premissas!$B$8</f>
        <v/>
      </c>
      <c r="F13" s="11" t="inlineStr">
        <is>
          <t>Premissas!B8 = custo por peça × peças por kit.</t>
        </is>
      </c>
    </row>
    <row r="14">
      <c r="A14" s="4" t="inlineStr">
        <is>
          <t>TOTAL DE CUSTOS</t>
        </is>
      </c>
      <c r="B14" s="27">
        <f>SUM(B7:B13)</f>
        <v/>
      </c>
      <c r="C14" s="27">
        <f>SUM(C7:C13)</f>
        <v/>
      </c>
      <c r="D14" s="27">
        <f>SUM(D7:D13)</f>
        <v/>
      </c>
      <c r="E14" s="27">
        <f>SUM(E7:E13)</f>
        <v/>
      </c>
      <c r="F14" s="11" t="inlineStr">
        <is>
          <t>Soma das linhas 7 a 13. A linha 6 é percentual e não entra na soma.</t>
        </is>
      </c>
    </row>
    <row r="15">
      <c r="A15" s="4" t="inlineStr">
        <is>
          <t>MARGEM DE CONTRIBUIÇÃO (R$)</t>
        </is>
      </c>
      <c r="B15" s="31">
        <f>B5-B14</f>
        <v/>
      </c>
      <c r="C15" s="31">
        <f>C5-C14</f>
        <v/>
      </c>
      <c r="D15" s="31">
        <f>D5-D14</f>
        <v/>
      </c>
      <c r="E15" s="31">
        <f>E5-E14</f>
        <v/>
      </c>
      <c r="F15" s="18" t="n"/>
    </row>
    <row r="16">
      <c r="A16" s="4" t="inlineStr">
        <is>
          <t>MARGEM DE CONTRIBUIÇÃO (%)</t>
        </is>
      </c>
      <c r="B16" s="32">
        <f>IF(B5=0,0,B15/B5)</f>
        <v/>
      </c>
      <c r="C16" s="32">
        <f>IF(C5=0,0,C15/C5)</f>
        <v/>
      </c>
      <c r="D16" s="32">
        <f>IF(D5=0,0,D15/D5)</f>
        <v/>
      </c>
      <c r="E16" s="32">
        <f>IF(E5=0,0,E15/E5)</f>
        <v/>
      </c>
      <c r="F16" s="11" t="inlineStr">
        <is>
          <t>O que sobra por kit para pagar a estrutura fixa. Abaixo de 15% em moda a operação não sustenta estrutura própria.</t>
        </is>
      </c>
    </row>
    <row r="17">
      <c r="A17" s="7" t="inlineStr">
        <is>
          <t>Veredito</t>
        </is>
      </c>
      <c r="B17" s="33">
        <f>IF(B16&lt;0,"PREJUÍZO",IF(B16&lt;0.15,"APERTADO",IF(B16&lt;0.25,"SAUDÁVEL","FORTE")))</f>
        <v/>
      </c>
      <c r="C17" s="33">
        <f>IF(C16&lt;0,"PREJUÍZO",IF(C16&lt;0.15,"APERTADO",IF(C16&lt;0.25,"SAUDÁVEL","FORTE")))</f>
        <v/>
      </c>
      <c r="D17" s="33">
        <f>IF(D16&lt;0,"PREJUÍZO",IF(D16&lt;0.15,"APERTADO",IF(D16&lt;0.25,"SAUDÁVEL","FORTE")))</f>
        <v/>
      </c>
      <c r="E17" s="33">
        <f>IF(E16&lt;0,"PREJUÍZO",IF(E16&lt;0.15,"APERTADO",IF(E16&lt;0.25,"SAUDÁVEL","FORTE")))</f>
        <v/>
      </c>
      <c r="F17" s="18" t="n"/>
    </row>
    <row r="18">
      <c r="F18" s="18" t="n"/>
    </row>
    <row r="19">
      <c r="A19" s="7" t="inlineStr">
        <is>
          <t>Ponto de equilíbrio (kits/mês)</t>
        </is>
      </c>
      <c r="B19" s="34">
        <f>IF(B15&lt;=0,"não atinge",ROUNDUP(Premissas!$B$14/B15,0))</f>
        <v/>
      </c>
      <c r="C19" s="34">
        <f>IF(C15&lt;=0,"não atinge",ROUNDUP(Premissas!$B$14/C15,0))</f>
        <v/>
      </c>
      <c r="D19" s="34">
        <f>IF(D15&lt;=0,"não atinge",ROUNDUP(Premissas!$B$14/D15,0))</f>
        <v/>
      </c>
      <c r="E19" s="34">
        <f>IF(E15&lt;=0,"não atinge",ROUNDUP(Premissas!$B$14/E15,0))</f>
        <v/>
      </c>
      <c r="F19" s="11" t="inlineStr">
        <is>
          <t>Custo fixo mensal ÷ margem por kit, se todo o volume viesse de um único canal.</t>
        </is>
      </c>
    </row>
    <row r="20">
      <c r="A20" s="7" t="inlineStr">
        <is>
          <t>Margem antes de mídia (%)</t>
        </is>
      </c>
      <c r="B20" s="35">
        <f>IF(B5=0,0,(B15+B10)/B5)</f>
        <v/>
      </c>
      <c r="C20" s="35">
        <f>IF(C5=0,0,(C15+C10)/C5)</f>
        <v/>
      </c>
      <c r="D20" s="35">
        <f>IF(D5=0,0,(D15+D10)/D5)</f>
        <v/>
      </c>
      <c r="E20" s="35">
        <f>IF(E5=0,0,(E15+E10)/E5)</f>
        <v/>
      </c>
      <c r="F20" s="18" t="n"/>
    </row>
    <row r="21">
      <c r="A21" s="4" t="inlineStr">
        <is>
          <t>ROAS de equilíbrio (loja própria)</t>
        </is>
      </c>
      <c r="E21" s="36">
        <f>IF(E20&lt;=0,"—",1/E20)</f>
        <v/>
      </c>
      <c r="F21" s="11" t="inlineStr">
        <is>
          <t>Inverso da margem antes de mídia. Abaixo disso, cada venda na loja própria dá prejuízo. A mediana de mercado em Meta Ads é 1,93x.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5" customWidth="1" min="15" max="15"/>
  </cols>
  <sheetData>
    <row r="1">
      <c r="A1" s="1" t="inlineStr">
        <is>
          <t>OS CINCO CAMINHOS — COMPARAÇÃO NO MERCADO LIVRE</t>
        </is>
      </c>
    </row>
    <row r="2">
      <c r="A2" s="2" t="inlineStr">
        <is>
          <t>Mesma plataforma, mesmas regras. Só mudam produto e preço. Colunas azuis são editáveis.</t>
        </is>
      </c>
    </row>
    <row r="4" ht="30" customHeight="1">
      <c r="A4" s="20" t="inlineStr">
        <is>
          <t>Caminho</t>
        </is>
      </c>
      <c r="B4" s="21" t="inlineStr">
        <is>
          <t>Custo/peça</t>
        </is>
      </c>
      <c r="C4" s="21" t="inlineStr">
        <is>
          <t>Peças</t>
        </is>
      </c>
      <c r="D4" s="21" t="inlineStr">
        <is>
          <t>Preço do kit</t>
        </is>
      </c>
      <c r="E4" s="21" t="inlineStr">
        <is>
          <t>CMV</t>
        </is>
      </c>
      <c r="F4" s="21" t="inlineStr">
        <is>
          <t>Comissão</t>
        </is>
      </c>
      <c r="G4" s="21" t="inlineStr">
        <is>
          <t>Taxa fixa</t>
        </is>
      </c>
      <c r="H4" s="21" t="inlineStr">
        <is>
          <t>Frete</t>
        </is>
      </c>
      <c r="I4" s="21" t="inlineStr">
        <is>
          <t>Mídia</t>
        </is>
      </c>
      <c r="J4" s="21" t="inlineStr">
        <is>
          <t>Imposto</t>
        </is>
      </c>
      <c r="K4" s="21" t="inlineStr">
        <is>
          <t>Devolução</t>
        </is>
      </c>
      <c r="L4" s="21" t="inlineStr">
        <is>
          <t>Total custos</t>
        </is>
      </c>
      <c r="M4" s="21" t="inlineStr">
        <is>
          <t>MC R$</t>
        </is>
      </c>
      <c r="N4" s="21" t="inlineStr">
        <is>
          <t>MC %</t>
        </is>
      </c>
      <c r="O4" s="21" t="inlineStr">
        <is>
          <t>Veredito</t>
        </is>
      </c>
    </row>
    <row r="5">
      <c r="A5" s="7" t="inlineStr">
        <is>
          <t>A. Kit 5 un · algodão penteado 180g · R$ 99</t>
        </is>
      </c>
      <c r="B5" s="25" t="n">
        <v>22.06</v>
      </c>
      <c r="C5" s="37" t="n">
        <v>5</v>
      </c>
      <c r="D5" s="25" t="n">
        <v>99</v>
      </c>
      <c r="E5" s="24">
        <f>B5*C5</f>
        <v/>
      </c>
      <c r="F5" s="24">
        <f>D5*Premissas!$B$17</f>
        <v/>
      </c>
      <c r="G5" s="24">
        <f>IF(D5&lt;79,Premissas!$B$19,0)</f>
        <v/>
      </c>
      <c r="H5" s="24">
        <f>IF(D5&gt;=79,Premissas!$B$18,0)</f>
        <v/>
      </c>
      <c r="I5" s="24">
        <f>D5*Premissas!$B$20</f>
        <v/>
      </c>
      <c r="J5" s="24">
        <f>D5*Premissas!$B$12</f>
        <v/>
      </c>
      <c r="K5" s="24">
        <f>D5*Premissas!$B$13</f>
        <v/>
      </c>
      <c r="L5" s="38">
        <f>SUM(E5:K5)</f>
        <v/>
      </c>
      <c r="M5" s="38">
        <f>D5-L5</f>
        <v/>
      </c>
      <c r="N5" s="39">
        <f>IF(D5=0,0,M5/D5)</f>
        <v/>
      </c>
      <c r="O5" s="33">
        <f>IF(N5&lt;0,"INVIÁVEL",IF(N5&lt;0.15,"APERTADO",IF(N5&lt;0.25,"SAUDÁVEL","FORTE")))</f>
        <v/>
      </c>
    </row>
    <row r="6">
      <c r="A6" s="7" t="inlineStr">
        <is>
          <t>B. Kit 5 un · malha popular · R$ 99</t>
        </is>
      </c>
      <c r="B6" s="25" t="n">
        <v>10.94</v>
      </c>
      <c r="C6" s="37" t="n">
        <v>5</v>
      </c>
      <c r="D6" s="25" t="n">
        <v>99</v>
      </c>
      <c r="E6" s="24">
        <f>B6*C6</f>
        <v/>
      </c>
      <c r="F6" s="24">
        <f>D6*Premissas!$B$17</f>
        <v/>
      </c>
      <c r="G6" s="24">
        <f>IF(D6&lt;79,Premissas!$B$19,0)</f>
        <v/>
      </c>
      <c r="H6" s="24">
        <f>IF(D6&gt;=79,Premissas!$B$18,0)</f>
        <v/>
      </c>
      <c r="I6" s="24">
        <f>D6*Premissas!$B$20</f>
        <v/>
      </c>
      <c r="J6" s="24">
        <f>D6*Premissas!$B$12</f>
        <v/>
      </c>
      <c r="K6" s="24">
        <f>D6*Premissas!$B$13</f>
        <v/>
      </c>
      <c r="L6" s="38">
        <f>SUM(E6:K6)</f>
        <v/>
      </c>
      <c r="M6" s="38">
        <f>D6-L6</f>
        <v/>
      </c>
      <c r="N6" s="39">
        <f>IF(D6=0,0,M6/D6)</f>
        <v/>
      </c>
      <c r="O6" s="33">
        <f>IF(N6&lt;0,"INVIÁVEL",IF(N6&lt;0.15,"APERTADO",IF(N6&lt;0.25,"SAUDÁVEL","FORTE")))</f>
        <v/>
      </c>
    </row>
    <row r="7">
      <c r="A7" s="7" t="inlineStr">
        <is>
          <t>C. Kit 5 un · custo mínimo de mercado · R$ 99</t>
        </is>
      </c>
      <c r="B7" s="25" t="n">
        <v>8</v>
      </c>
      <c r="C7" s="37" t="n">
        <v>5</v>
      </c>
      <c r="D7" s="25" t="n">
        <v>99</v>
      </c>
      <c r="E7" s="24">
        <f>B7*C7</f>
        <v/>
      </c>
      <c r="F7" s="24">
        <f>D7*Premissas!$B$17</f>
        <v/>
      </c>
      <c r="G7" s="24">
        <f>IF(D7&lt;79,Premissas!$B$19,0)</f>
        <v/>
      </c>
      <c r="H7" s="24">
        <f>IF(D7&gt;=79,Premissas!$B$18,0)</f>
        <v/>
      </c>
      <c r="I7" s="24">
        <f>D7*Premissas!$B$20</f>
        <v/>
      </c>
      <c r="J7" s="24">
        <f>D7*Premissas!$B$12</f>
        <v/>
      </c>
      <c r="K7" s="24">
        <f>D7*Premissas!$B$13</f>
        <v/>
      </c>
      <c r="L7" s="38">
        <f>SUM(E7:K7)</f>
        <v/>
      </c>
      <c r="M7" s="38">
        <f>D7-L7</f>
        <v/>
      </c>
      <c r="N7" s="39">
        <f>IF(D7=0,0,M7/D7)</f>
        <v/>
      </c>
      <c r="O7" s="33">
        <f>IF(N7&lt;0,"INVIÁVEL",IF(N7&lt;0.15,"APERTADO",IF(N7&lt;0.25,"SAUDÁVEL","FORTE")))</f>
        <v/>
      </c>
    </row>
    <row r="8">
      <c r="A8" s="40" t="inlineStr">
        <is>
          <t>D. Kit 3 un · algodão penteado 180g · R$ 169</t>
        </is>
      </c>
      <c r="B8" s="41" t="n">
        <v>22.06</v>
      </c>
      <c r="C8" s="42" t="n">
        <v>3</v>
      </c>
      <c r="D8" s="41" t="n">
        <v>169</v>
      </c>
      <c r="E8" s="43">
        <f>B8*C8</f>
        <v/>
      </c>
      <c r="F8" s="43">
        <f>D8*Premissas!$B$17</f>
        <v/>
      </c>
      <c r="G8" s="43">
        <f>IF(D8&lt;79,Premissas!$B$19,0)</f>
        <v/>
      </c>
      <c r="H8" s="43">
        <f>IF(D8&gt;=79,Premissas!$B$18,0)</f>
        <v/>
      </c>
      <c r="I8" s="43">
        <f>D8*Premissas!$B$20</f>
        <v/>
      </c>
      <c r="J8" s="43">
        <f>D8*Premissas!$B$12</f>
        <v/>
      </c>
      <c r="K8" s="43">
        <f>D8*Premissas!$B$13</f>
        <v/>
      </c>
      <c r="L8" s="44">
        <f>SUM(E8:K8)</f>
        <v/>
      </c>
      <c r="M8" s="44">
        <f>D8-L8</f>
        <v/>
      </c>
      <c r="N8" s="45">
        <f>IF(D8=0,0,M8/D8)</f>
        <v/>
      </c>
      <c r="O8" s="46">
        <f>IF(N8&lt;0,"INVIÁVEL",IF(N8&lt;0.15,"APERTADO",IF(N8&lt;0.25,"SAUDÁVEL","FORTE")))</f>
        <v/>
      </c>
    </row>
    <row r="9">
      <c r="A9" s="7" t="inlineStr">
        <is>
          <t>E. Avulsa · fibra longa · R$ 119</t>
        </is>
      </c>
      <c r="B9" s="25" t="n">
        <v>34.71</v>
      </c>
      <c r="C9" s="37" t="n">
        <v>1</v>
      </c>
      <c r="D9" s="25" t="n">
        <v>119</v>
      </c>
      <c r="E9" s="24">
        <f>B9*C9</f>
        <v/>
      </c>
      <c r="F9" s="24">
        <f>D9*Premissas!$B$17</f>
        <v/>
      </c>
      <c r="G9" s="24">
        <f>IF(D9&lt;79,Premissas!$B$19,0)</f>
        <v/>
      </c>
      <c r="H9" s="24">
        <f>IF(D9&gt;=79,Premissas!$B$18,0)</f>
        <v/>
      </c>
      <c r="I9" s="24">
        <f>D9*Premissas!$B$20</f>
        <v/>
      </c>
      <c r="J9" s="24">
        <f>D9*Premissas!$B$12</f>
        <v/>
      </c>
      <c r="K9" s="24">
        <f>D9*Premissas!$B$13</f>
        <v/>
      </c>
      <c r="L9" s="38">
        <f>SUM(E9:K9)</f>
        <v/>
      </c>
      <c r="M9" s="38">
        <f>D9-L9</f>
        <v/>
      </c>
      <c r="N9" s="39">
        <f>IF(D9=0,0,M9/D9)</f>
        <v/>
      </c>
      <c r="O9" s="33">
        <f>IF(N9&lt;0,"INVIÁVEL",IF(N9&lt;0.15,"APERTADO",IF(N9&lt;0.25,"SAUDÁVEL","FORTE")))</f>
        <v/>
      </c>
    </row>
    <row r="10">
      <c r="A10" s="7" t="inlineStr">
        <is>
          <t>F. Avulsa · fibra longa · R$ 100</t>
        </is>
      </c>
      <c r="B10" s="25" t="n">
        <v>34.71</v>
      </c>
      <c r="C10" s="37" t="n">
        <v>1</v>
      </c>
      <c r="D10" s="25" t="n">
        <v>100</v>
      </c>
      <c r="E10" s="24">
        <f>B10*C10</f>
        <v/>
      </c>
      <c r="F10" s="24">
        <f>D10*Premissas!$B$17</f>
        <v/>
      </c>
      <c r="G10" s="24">
        <f>IF(D10&lt;79,Premissas!$B$19,0)</f>
        <v/>
      </c>
      <c r="H10" s="24">
        <f>IF(D10&gt;=79,Premissas!$B$18,0)</f>
        <v/>
      </c>
      <c r="I10" s="24">
        <f>D10*Premissas!$B$20</f>
        <v/>
      </c>
      <c r="J10" s="24">
        <f>D10*Premissas!$B$12</f>
        <v/>
      </c>
      <c r="K10" s="24">
        <f>D10*Premissas!$B$13</f>
        <v/>
      </c>
      <c r="L10" s="38">
        <f>SUM(E10:K10)</f>
        <v/>
      </c>
      <c r="M10" s="38">
        <f>D10-L10</f>
        <v/>
      </c>
      <c r="N10" s="39">
        <f>IF(D10=0,0,M10/D10)</f>
        <v/>
      </c>
      <c r="O10" s="33">
        <f>IF(N10&lt;0,"INVIÁVEL",IF(N10&lt;0.15,"APERTADO",IF(N10&lt;0.25,"SAUDÁVEL","FORTE")))</f>
        <v/>
      </c>
    </row>
    <row r="12">
      <c r="A12" s="4" t="inlineStr">
        <is>
          <t>Custo máximo por peça para o kit de 5 a R$ 99 empatar</t>
        </is>
      </c>
      <c r="D12" s="47">
        <f>(D6-F6-G6-H6-I6-J6-K6)/C6</f>
        <v/>
      </c>
      <c r="F12" s="11" t="inlineStr">
        <is>
          <t>Acima deste custo por peça, o kit de 5 a R$ 99 dá prejuízo no Mercado Livre. É o número que encerra a discussão sobre esse formato.</t>
        </is>
      </c>
    </row>
  </sheetData>
  <mergeCells count="1">
    <mergeCell ref="F12:O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SENSIBILIDADE — MARGEM DE CONTRIBUIÇÃO NO MERCADO LIVRE</t>
        </is>
      </c>
    </row>
    <row r="2">
      <c r="A2" s="2" t="inlineStr">
        <is>
          <t>Linhas: custo de fabricação por peça. Colunas: preço de venda do kit. Peças por kit vem de Premissas!B6.</t>
        </is>
      </c>
    </row>
    <row r="3">
      <c r="A3" s="7" t="inlineStr">
        <is>
          <t>Peças por kit:</t>
        </is>
      </c>
      <c r="B3" s="48">
        <f>Premissas!$B$6</f>
        <v/>
      </c>
    </row>
    <row r="5">
      <c r="A5" s="3" t="inlineStr">
        <is>
          <t>Custo/peça  ↓   Preço →</t>
        </is>
      </c>
      <c r="B5" s="49" t="n">
        <v>99</v>
      </c>
      <c r="C5" s="49" t="n">
        <v>119</v>
      </c>
      <c r="D5" s="49" t="n">
        <v>139</v>
      </c>
      <c r="E5" s="49" t="n">
        <v>159</v>
      </c>
      <c r="F5" s="49" t="n">
        <v>169</v>
      </c>
      <c r="G5" s="49" t="n">
        <v>189</v>
      </c>
      <c r="H5" s="49" t="n">
        <v>209</v>
      </c>
      <c r="I5" s="49" t="n">
        <v>229</v>
      </c>
    </row>
    <row r="6">
      <c r="A6" s="25" t="n">
        <v>8</v>
      </c>
      <c r="B6" s="50">
        <f>IF(B$5=0,0,(B$5-B$5*Premissas!$B$17-IF(B$5&lt;79,Premissas!$B$19,0)-IF(B$5&gt;=79,Premissas!$B$18,0)-B$5*Premissas!$B$20-B$5*Premissas!$B$12-B$5*Premissas!$B$13-$A6*$B$3)/B$5)</f>
        <v/>
      </c>
      <c r="C6" s="50">
        <f>IF(C$5=0,0,(C$5-C$5*Premissas!$B$17-IF(C$5&lt;79,Premissas!$B$19,0)-IF(C$5&gt;=79,Premissas!$B$18,0)-C$5*Premissas!$B$20-C$5*Premissas!$B$12-C$5*Premissas!$B$13-$A6*$B$3)/C$5)</f>
        <v/>
      </c>
      <c r="D6" s="50">
        <f>IF(D$5=0,0,(D$5-D$5*Premissas!$B$17-IF(D$5&lt;79,Premissas!$B$19,0)-IF(D$5&gt;=79,Premissas!$B$18,0)-D$5*Premissas!$B$20-D$5*Premissas!$B$12-D$5*Premissas!$B$13-$A6*$B$3)/D$5)</f>
        <v/>
      </c>
      <c r="E6" s="50">
        <f>IF(E$5=0,0,(E$5-E$5*Premissas!$B$17-IF(E$5&lt;79,Premissas!$B$19,0)-IF(E$5&gt;=79,Premissas!$B$18,0)-E$5*Premissas!$B$20-E$5*Premissas!$B$12-E$5*Premissas!$B$13-$A6*$B$3)/E$5)</f>
        <v/>
      </c>
      <c r="F6" s="50">
        <f>IF(F$5=0,0,(F$5-F$5*Premissas!$B$17-IF(F$5&lt;79,Premissas!$B$19,0)-IF(F$5&gt;=79,Premissas!$B$18,0)-F$5*Premissas!$B$20-F$5*Premissas!$B$12-F$5*Premissas!$B$13-$A6*$B$3)/F$5)</f>
        <v/>
      </c>
      <c r="G6" s="50">
        <f>IF(G$5=0,0,(G$5-G$5*Premissas!$B$17-IF(G$5&lt;79,Premissas!$B$19,0)-IF(G$5&gt;=79,Premissas!$B$18,0)-G$5*Premissas!$B$20-G$5*Premissas!$B$12-G$5*Premissas!$B$13-$A6*$B$3)/G$5)</f>
        <v/>
      </c>
      <c r="H6" s="50">
        <f>IF(H$5=0,0,(H$5-H$5*Premissas!$B$17-IF(H$5&lt;79,Premissas!$B$19,0)-IF(H$5&gt;=79,Premissas!$B$18,0)-H$5*Premissas!$B$20-H$5*Premissas!$B$12-H$5*Premissas!$B$13-$A6*$B$3)/H$5)</f>
        <v/>
      </c>
      <c r="I6" s="50">
        <f>IF(I$5=0,0,(I$5-I$5*Premissas!$B$17-IF(I$5&lt;79,Premissas!$B$19,0)-IF(I$5&gt;=79,Premissas!$B$18,0)-I$5*Premissas!$B$20-I$5*Premissas!$B$12-I$5*Premissas!$B$13-$A6*$B$3)/I$5)</f>
        <v/>
      </c>
    </row>
    <row r="7">
      <c r="A7" s="25" t="n">
        <v>11</v>
      </c>
      <c r="B7" s="50">
        <f>IF(B$5=0,0,(B$5-B$5*Premissas!$B$17-IF(B$5&lt;79,Premissas!$B$19,0)-IF(B$5&gt;=79,Premissas!$B$18,0)-B$5*Premissas!$B$20-B$5*Premissas!$B$12-B$5*Premissas!$B$13-$A7*$B$3)/B$5)</f>
        <v/>
      </c>
      <c r="C7" s="50">
        <f>IF(C$5=0,0,(C$5-C$5*Premissas!$B$17-IF(C$5&lt;79,Premissas!$B$19,0)-IF(C$5&gt;=79,Premissas!$B$18,0)-C$5*Premissas!$B$20-C$5*Premissas!$B$12-C$5*Premissas!$B$13-$A7*$B$3)/C$5)</f>
        <v/>
      </c>
      <c r="D7" s="50">
        <f>IF(D$5=0,0,(D$5-D$5*Premissas!$B$17-IF(D$5&lt;79,Premissas!$B$19,0)-IF(D$5&gt;=79,Premissas!$B$18,0)-D$5*Premissas!$B$20-D$5*Premissas!$B$12-D$5*Premissas!$B$13-$A7*$B$3)/D$5)</f>
        <v/>
      </c>
      <c r="E7" s="50">
        <f>IF(E$5=0,0,(E$5-E$5*Premissas!$B$17-IF(E$5&lt;79,Premissas!$B$19,0)-IF(E$5&gt;=79,Premissas!$B$18,0)-E$5*Premissas!$B$20-E$5*Premissas!$B$12-E$5*Premissas!$B$13-$A7*$B$3)/E$5)</f>
        <v/>
      </c>
      <c r="F7" s="50">
        <f>IF(F$5=0,0,(F$5-F$5*Premissas!$B$17-IF(F$5&lt;79,Premissas!$B$19,0)-IF(F$5&gt;=79,Premissas!$B$18,0)-F$5*Premissas!$B$20-F$5*Premissas!$B$12-F$5*Premissas!$B$13-$A7*$B$3)/F$5)</f>
        <v/>
      </c>
      <c r="G7" s="50">
        <f>IF(G$5=0,0,(G$5-G$5*Premissas!$B$17-IF(G$5&lt;79,Premissas!$B$19,0)-IF(G$5&gt;=79,Premissas!$B$18,0)-G$5*Premissas!$B$20-G$5*Premissas!$B$12-G$5*Premissas!$B$13-$A7*$B$3)/G$5)</f>
        <v/>
      </c>
      <c r="H7" s="50">
        <f>IF(H$5=0,0,(H$5-H$5*Premissas!$B$17-IF(H$5&lt;79,Premissas!$B$19,0)-IF(H$5&gt;=79,Premissas!$B$18,0)-H$5*Premissas!$B$20-H$5*Premissas!$B$12-H$5*Premissas!$B$13-$A7*$B$3)/H$5)</f>
        <v/>
      </c>
      <c r="I7" s="50">
        <f>IF(I$5=0,0,(I$5-I$5*Premissas!$B$17-IF(I$5&lt;79,Premissas!$B$19,0)-IF(I$5&gt;=79,Premissas!$B$18,0)-I$5*Premissas!$B$20-I$5*Premissas!$B$12-I$5*Premissas!$B$13-$A7*$B$3)/I$5)</f>
        <v/>
      </c>
    </row>
    <row r="8">
      <c r="A8" s="25" t="n">
        <v>14</v>
      </c>
      <c r="B8" s="50">
        <f>IF(B$5=0,0,(B$5-B$5*Premissas!$B$17-IF(B$5&lt;79,Premissas!$B$19,0)-IF(B$5&gt;=79,Premissas!$B$18,0)-B$5*Premissas!$B$20-B$5*Premissas!$B$12-B$5*Premissas!$B$13-$A8*$B$3)/B$5)</f>
        <v/>
      </c>
      <c r="C8" s="50">
        <f>IF(C$5=0,0,(C$5-C$5*Premissas!$B$17-IF(C$5&lt;79,Premissas!$B$19,0)-IF(C$5&gt;=79,Premissas!$B$18,0)-C$5*Premissas!$B$20-C$5*Premissas!$B$12-C$5*Premissas!$B$13-$A8*$B$3)/C$5)</f>
        <v/>
      </c>
      <c r="D8" s="50">
        <f>IF(D$5=0,0,(D$5-D$5*Premissas!$B$17-IF(D$5&lt;79,Premissas!$B$19,0)-IF(D$5&gt;=79,Premissas!$B$18,0)-D$5*Premissas!$B$20-D$5*Premissas!$B$12-D$5*Premissas!$B$13-$A8*$B$3)/D$5)</f>
        <v/>
      </c>
      <c r="E8" s="50">
        <f>IF(E$5=0,0,(E$5-E$5*Premissas!$B$17-IF(E$5&lt;79,Premissas!$B$19,0)-IF(E$5&gt;=79,Premissas!$B$18,0)-E$5*Premissas!$B$20-E$5*Premissas!$B$12-E$5*Premissas!$B$13-$A8*$B$3)/E$5)</f>
        <v/>
      </c>
      <c r="F8" s="50">
        <f>IF(F$5=0,0,(F$5-F$5*Premissas!$B$17-IF(F$5&lt;79,Premissas!$B$19,0)-IF(F$5&gt;=79,Premissas!$B$18,0)-F$5*Premissas!$B$20-F$5*Premissas!$B$12-F$5*Premissas!$B$13-$A8*$B$3)/F$5)</f>
        <v/>
      </c>
      <c r="G8" s="50">
        <f>IF(G$5=0,0,(G$5-G$5*Premissas!$B$17-IF(G$5&lt;79,Premissas!$B$19,0)-IF(G$5&gt;=79,Premissas!$B$18,0)-G$5*Premissas!$B$20-G$5*Premissas!$B$12-G$5*Premissas!$B$13-$A8*$B$3)/G$5)</f>
        <v/>
      </c>
      <c r="H8" s="50">
        <f>IF(H$5=0,0,(H$5-H$5*Premissas!$B$17-IF(H$5&lt;79,Premissas!$B$19,0)-IF(H$5&gt;=79,Premissas!$B$18,0)-H$5*Premissas!$B$20-H$5*Premissas!$B$12-H$5*Premissas!$B$13-$A8*$B$3)/H$5)</f>
        <v/>
      </c>
      <c r="I8" s="50">
        <f>IF(I$5=0,0,(I$5-I$5*Premissas!$B$17-IF(I$5&lt;79,Premissas!$B$19,0)-IF(I$5&gt;=79,Premissas!$B$18,0)-I$5*Premissas!$B$20-I$5*Premissas!$B$12-I$5*Premissas!$B$13-$A8*$B$3)/I$5)</f>
        <v/>
      </c>
    </row>
    <row r="9">
      <c r="A9" s="25" t="n">
        <v>17</v>
      </c>
      <c r="B9" s="50">
        <f>IF(B$5=0,0,(B$5-B$5*Premissas!$B$17-IF(B$5&lt;79,Premissas!$B$19,0)-IF(B$5&gt;=79,Premissas!$B$18,0)-B$5*Premissas!$B$20-B$5*Premissas!$B$12-B$5*Premissas!$B$13-$A9*$B$3)/B$5)</f>
        <v/>
      </c>
      <c r="C9" s="50">
        <f>IF(C$5=0,0,(C$5-C$5*Premissas!$B$17-IF(C$5&lt;79,Premissas!$B$19,0)-IF(C$5&gt;=79,Premissas!$B$18,0)-C$5*Premissas!$B$20-C$5*Premissas!$B$12-C$5*Premissas!$B$13-$A9*$B$3)/C$5)</f>
        <v/>
      </c>
      <c r="D9" s="50">
        <f>IF(D$5=0,0,(D$5-D$5*Premissas!$B$17-IF(D$5&lt;79,Premissas!$B$19,0)-IF(D$5&gt;=79,Premissas!$B$18,0)-D$5*Premissas!$B$20-D$5*Premissas!$B$12-D$5*Premissas!$B$13-$A9*$B$3)/D$5)</f>
        <v/>
      </c>
      <c r="E9" s="50">
        <f>IF(E$5=0,0,(E$5-E$5*Premissas!$B$17-IF(E$5&lt;79,Premissas!$B$19,0)-IF(E$5&gt;=79,Premissas!$B$18,0)-E$5*Premissas!$B$20-E$5*Premissas!$B$12-E$5*Premissas!$B$13-$A9*$B$3)/E$5)</f>
        <v/>
      </c>
      <c r="F9" s="50">
        <f>IF(F$5=0,0,(F$5-F$5*Premissas!$B$17-IF(F$5&lt;79,Premissas!$B$19,0)-IF(F$5&gt;=79,Premissas!$B$18,0)-F$5*Premissas!$B$20-F$5*Premissas!$B$12-F$5*Premissas!$B$13-$A9*$B$3)/F$5)</f>
        <v/>
      </c>
      <c r="G9" s="50">
        <f>IF(G$5=0,0,(G$5-G$5*Premissas!$B$17-IF(G$5&lt;79,Premissas!$B$19,0)-IF(G$5&gt;=79,Premissas!$B$18,0)-G$5*Premissas!$B$20-G$5*Premissas!$B$12-G$5*Premissas!$B$13-$A9*$B$3)/G$5)</f>
        <v/>
      </c>
      <c r="H9" s="50">
        <f>IF(H$5=0,0,(H$5-H$5*Premissas!$B$17-IF(H$5&lt;79,Premissas!$B$19,0)-IF(H$5&gt;=79,Premissas!$B$18,0)-H$5*Premissas!$B$20-H$5*Premissas!$B$12-H$5*Premissas!$B$13-$A9*$B$3)/H$5)</f>
        <v/>
      </c>
      <c r="I9" s="50">
        <f>IF(I$5=0,0,(I$5-I$5*Premissas!$B$17-IF(I$5&lt;79,Premissas!$B$19,0)-IF(I$5&gt;=79,Premissas!$B$18,0)-I$5*Premissas!$B$20-I$5*Premissas!$B$12-I$5*Premissas!$B$13-$A9*$B$3)/I$5)</f>
        <v/>
      </c>
    </row>
    <row r="10">
      <c r="A10" s="25" t="n">
        <v>20</v>
      </c>
      <c r="B10" s="50">
        <f>IF(B$5=0,0,(B$5-B$5*Premissas!$B$17-IF(B$5&lt;79,Premissas!$B$19,0)-IF(B$5&gt;=79,Premissas!$B$18,0)-B$5*Premissas!$B$20-B$5*Premissas!$B$12-B$5*Premissas!$B$13-$A10*$B$3)/B$5)</f>
        <v/>
      </c>
      <c r="C10" s="50">
        <f>IF(C$5=0,0,(C$5-C$5*Premissas!$B$17-IF(C$5&lt;79,Premissas!$B$19,0)-IF(C$5&gt;=79,Premissas!$B$18,0)-C$5*Premissas!$B$20-C$5*Premissas!$B$12-C$5*Premissas!$B$13-$A10*$B$3)/C$5)</f>
        <v/>
      </c>
      <c r="D10" s="50">
        <f>IF(D$5=0,0,(D$5-D$5*Premissas!$B$17-IF(D$5&lt;79,Premissas!$B$19,0)-IF(D$5&gt;=79,Premissas!$B$18,0)-D$5*Premissas!$B$20-D$5*Premissas!$B$12-D$5*Premissas!$B$13-$A10*$B$3)/D$5)</f>
        <v/>
      </c>
      <c r="E10" s="50">
        <f>IF(E$5=0,0,(E$5-E$5*Premissas!$B$17-IF(E$5&lt;79,Premissas!$B$19,0)-IF(E$5&gt;=79,Premissas!$B$18,0)-E$5*Premissas!$B$20-E$5*Premissas!$B$12-E$5*Premissas!$B$13-$A10*$B$3)/E$5)</f>
        <v/>
      </c>
      <c r="F10" s="50">
        <f>IF(F$5=0,0,(F$5-F$5*Premissas!$B$17-IF(F$5&lt;79,Premissas!$B$19,0)-IF(F$5&gt;=79,Premissas!$B$18,0)-F$5*Premissas!$B$20-F$5*Premissas!$B$12-F$5*Premissas!$B$13-$A10*$B$3)/F$5)</f>
        <v/>
      </c>
      <c r="G10" s="50">
        <f>IF(G$5=0,0,(G$5-G$5*Premissas!$B$17-IF(G$5&lt;79,Premissas!$B$19,0)-IF(G$5&gt;=79,Premissas!$B$18,0)-G$5*Premissas!$B$20-G$5*Premissas!$B$12-G$5*Premissas!$B$13-$A10*$B$3)/G$5)</f>
        <v/>
      </c>
      <c r="H10" s="50">
        <f>IF(H$5=0,0,(H$5-H$5*Premissas!$B$17-IF(H$5&lt;79,Premissas!$B$19,0)-IF(H$5&gt;=79,Premissas!$B$18,0)-H$5*Premissas!$B$20-H$5*Premissas!$B$12-H$5*Premissas!$B$13-$A10*$B$3)/H$5)</f>
        <v/>
      </c>
      <c r="I10" s="50">
        <f>IF(I$5=0,0,(I$5-I$5*Premissas!$B$17-IF(I$5&lt;79,Premissas!$B$19,0)-IF(I$5&gt;=79,Premissas!$B$18,0)-I$5*Premissas!$B$20-I$5*Premissas!$B$12-I$5*Premissas!$B$13-$A10*$B$3)/I$5)</f>
        <v/>
      </c>
    </row>
    <row r="11">
      <c r="A11" s="41" t="n">
        <v>22.06</v>
      </c>
      <c r="B11" s="50">
        <f>IF(B$5=0,0,(B$5-B$5*Premissas!$B$17-IF(B$5&lt;79,Premissas!$B$19,0)-IF(B$5&gt;=79,Premissas!$B$18,0)-B$5*Premissas!$B$20-B$5*Premissas!$B$12-B$5*Premissas!$B$13-$A11*$B$3)/B$5)</f>
        <v/>
      </c>
      <c r="C11" s="50">
        <f>IF(C$5=0,0,(C$5-C$5*Premissas!$B$17-IF(C$5&lt;79,Premissas!$B$19,0)-IF(C$5&gt;=79,Premissas!$B$18,0)-C$5*Premissas!$B$20-C$5*Premissas!$B$12-C$5*Premissas!$B$13-$A11*$B$3)/C$5)</f>
        <v/>
      </c>
      <c r="D11" s="50">
        <f>IF(D$5=0,0,(D$5-D$5*Premissas!$B$17-IF(D$5&lt;79,Premissas!$B$19,0)-IF(D$5&gt;=79,Premissas!$B$18,0)-D$5*Premissas!$B$20-D$5*Premissas!$B$12-D$5*Premissas!$B$13-$A11*$B$3)/D$5)</f>
        <v/>
      </c>
      <c r="E11" s="50">
        <f>IF(E$5=0,0,(E$5-E$5*Premissas!$B$17-IF(E$5&lt;79,Premissas!$B$19,0)-IF(E$5&gt;=79,Premissas!$B$18,0)-E$5*Premissas!$B$20-E$5*Premissas!$B$12-E$5*Premissas!$B$13-$A11*$B$3)/E$5)</f>
        <v/>
      </c>
      <c r="F11" s="50">
        <f>IF(F$5=0,0,(F$5-F$5*Premissas!$B$17-IF(F$5&lt;79,Premissas!$B$19,0)-IF(F$5&gt;=79,Premissas!$B$18,0)-F$5*Premissas!$B$20-F$5*Premissas!$B$12-F$5*Premissas!$B$13-$A11*$B$3)/F$5)</f>
        <v/>
      </c>
      <c r="G11" s="50">
        <f>IF(G$5=0,0,(G$5-G$5*Premissas!$B$17-IF(G$5&lt;79,Premissas!$B$19,0)-IF(G$5&gt;=79,Premissas!$B$18,0)-G$5*Premissas!$B$20-G$5*Premissas!$B$12-G$5*Premissas!$B$13-$A11*$B$3)/G$5)</f>
        <v/>
      </c>
      <c r="H11" s="50">
        <f>IF(H$5=0,0,(H$5-H$5*Premissas!$B$17-IF(H$5&lt;79,Premissas!$B$19,0)-IF(H$5&gt;=79,Premissas!$B$18,0)-H$5*Premissas!$B$20-H$5*Premissas!$B$12-H$5*Premissas!$B$13-$A11*$B$3)/H$5)</f>
        <v/>
      </c>
      <c r="I11" s="50">
        <f>IF(I$5=0,0,(I$5-I$5*Premissas!$B$17-IF(I$5&lt;79,Premissas!$B$19,0)-IF(I$5&gt;=79,Premissas!$B$18,0)-I$5*Premissas!$B$20-I$5*Premissas!$B$12-I$5*Premissas!$B$13-$A11*$B$3)/I$5)</f>
        <v/>
      </c>
    </row>
    <row r="12">
      <c r="A12" s="25" t="n">
        <v>25</v>
      </c>
      <c r="B12" s="50">
        <f>IF(B$5=0,0,(B$5-B$5*Premissas!$B$17-IF(B$5&lt;79,Premissas!$B$19,0)-IF(B$5&gt;=79,Premissas!$B$18,0)-B$5*Premissas!$B$20-B$5*Premissas!$B$12-B$5*Premissas!$B$13-$A12*$B$3)/B$5)</f>
        <v/>
      </c>
      <c r="C12" s="50">
        <f>IF(C$5=0,0,(C$5-C$5*Premissas!$B$17-IF(C$5&lt;79,Premissas!$B$19,0)-IF(C$5&gt;=79,Premissas!$B$18,0)-C$5*Premissas!$B$20-C$5*Premissas!$B$12-C$5*Premissas!$B$13-$A12*$B$3)/C$5)</f>
        <v/>
      </c>
      <c r="D12" s="50">
        <f>IF(D$5=0,0,(D$5-D$5*Premissas!$B$17-IF(D$5&lt;79,Premissas!$B$19,0)-IF(D$5&gt;=79,Premissas!$B$18,0)-D$5*Premissas!$B$20-D$5*Premissas!$B$12-D$5*Premissas!$B$13-$A12*$B$3)/D$5)</f>
        <v/>
      </c>
      <c r="E12" s="50">
        <f>IF(E$5=0,0,(E$5-E$5*Premissas!$B$17-IF(E$5&lt;79,Premissas!$B$19,0)-IF(E$5&gt;=79,Premissas!$B$18,0)-E$5*Premissas!$B$20-E$5*Premissas!$B$12-E$5*Premissas!$B$13-$A12*$B$3)/E$5)</f>
        <v/>
      </c>
      <c r="F12" s="50">
        <f>IF(F$5=0,0,(F$5-F$5*Premissas!$B$17-IF(F$5&lt;79,Premissas!$B$19,0)-IF(F$5&gt;=79,Premissas!$B$18,0)-F$5*Premissas!$B$20-F$5*Premissas!$B$12-F$5*Premissas!$B$13-$A12*$B$3)/F$5)</f>
        <v/>
      </c>
      <c r="G12" s="50">
        <f>IF(G$5=0,0,(G$5-G$5*Premissas!$B$17-IF(G$5&lt;79,Premissas!$B$19,0)-IF(G$5&gt;=79,Premissas!$B$18,0)-G$5*Premissas!$B$20-G$5*Premissas!$B$12-G$5*Premissas!$B$13-$A12*$B$3)/G$5)</f>
        <v/>
      </c>
      <c r="H12" s="50">
        <f>IF(H$5=0,0,(H$5-H$5*Premissas!$B$17-IF(H$5&lt;79,Premissas!$B$19,0)-IF(H$5&gt;=79,Premissas!$B$18,0)-H$5*Premissas!$B$20-H$5*Premissas!$B$12-H$5*Premissas!$B$13-$A12*$B$3)/H$5)</f>
        <v/>
      </c>
      <c r="I12" s="50">
        <f>IF(I$5=0,0,(I$5-I$5*Premissas!$B$17-IF(I$5&lt;79,Premissas!$B$19,0)-IF(I$5&gt;=79,Premissas!$B$18,0)-I$5*Premissas!$B$20-I$5*Premissas!$B$12-I$5*Premissas!$B$13-$A12*$B$3)/I$5)</f>
        <v/>
      </c>
    </row>
    <row r="13">
      <c r="A13" s="25" t="n">
        <v>28</v>
      </c>
      <c r="B13" s="50">
        <f>IF(B$5=0,0,(B$5-B$5*Premissas!$B$17-IF(B$5&lt;79,Premissas!$B$19,0)-IF(B$5&gt;=79,Premissas!$B$18,0)-B$5*Premissas!$B$20-B$5*Premissas!$B$12-B$5*Premissas!$B$13-$A13*$B$3)/B$5)</f>
        <v/>
      </c>
      <c r="C13" s="50">
        <f>IF(C$5=0,0,(C$5-C$5*Premissas!$B$17-IF(C$5&lt;79,Premissas!$B$19,0)-IF(C$5&gt;=79,Premissas!$B$18,0)-C$5*Premissas!$B$20-C$5*Premissas!$B$12-C$5*Premissas!$B$13-$A13*$B$3)/C$5)</f>
        <v/>
      </c>
      <c r="D13" s="50">
        <f>IF(D$5=0,0,(D$5-D$5*Premissas!$B$17-IF(D$5&lt;79,Premissas!$B$19,0)-IF(D$5&gt;=79,Premissas!$B$18,0)-D$5*Premissas!$B$20-D$5*Premissas!$B$12-D$5*Premissas!$B$13-$A13*$B$3)/D$5)</f>
        <v/>
      </c>
      <c r="E13" s="50">
        <f>IF(E$5=0,0,(E$5-E$5*Premissas!$B$17-IF(E$5&lt;79,Premissas!$B$19,0)-IF(E$5&gt;=79,Premissas!$B$18,0)-E$5*Premissas!$B$20-E$5*Premissas!$B$12-E$5*Premissas!$B$13-$A13*$B$3)/E$5)</f>
        <v/>
      </c>
      <c r="F13" s="50">
        <f>IF(F$5=0,0,(F$5-F$5*Premissas!$B$17-IF(F$5&lt;79,Premissas!$B$19,0)-IF(F$5&gt;=79,Premissas!$B$18,0)-F$5*Premissas!$B$20-F$5*Premissas!$B$12-F$5*Premissas!$B$13-$A13*$B$3)/F$5)</f>
        <v/>
      </c>
      <c r="G13" s="50">
        <f>IF(G$5=0,0,(G$5-G$5*Premissas!$B$17-IF(G$5&lt;79,Premissas!$B$19,0)-IF(G$5&gt;=79,Premissas!$B$18,0)-G$5*Premissas!$B$20-G$5*Premissas!$B$12-G$5*Premissas!$B$13-$A13*$B$3)/G$5)</f>
        <v/>
      </c>
      <c r="H13" s="50">
        <f>IF(H$5=0,0,(H$5-H$5*Premissas!$B$17-IF(H$5&lt;79,Premissas!$B$19,0)-IF(H$5&gt;=79,Premissas!$B$18,0)-H$5*Premissas!$B$20-H$5*Premissas!$B$12-H$5*Premissas!$B$13-$A13*$B$3)/H$5)</f>
        <v/>
      </c>
      <c r="I13" s="50">
        <f>IF(I$5=0,0,(I$5-I$5*Premissas!$B$17-IF(I$5&lt;79,Premissas!$B$19,0)-IF(I$5&gt;=79,Premissas!$B$18,0)-I$5*Premissas!$B$20-I$5*Premissas!$B$12-I$5*Premissas!$B$13-$A13*$B$3)/I$5)</f>
        <v/>
      </c>
    </row>
    <row r="14">
      <c r="A14" s="25" t="n">
        <v>31</v>
      </c>
      <c r="B14" s="50">
        <f>IF(B$5=0,0,(B$5-B$5*Premissas!$B$17-IF(B$5&lt;79,Premissas!$B$19,0)-IF(B$5&gt;=79,Premissas!$B$18,0)-B$5*Premissas!$B$20-B$5*Premissas!$B$12-B$5*Premissas!$B$13-$A14*$B$3)/B$5)</f>
        <v/>
      </c>
      <c r="C14" s="50">
        <f>IF(C$5=0,0,(C$5-C$5*Premissas!$B$17-IF(C$5&lt;79,Premissas!$B$19,0)-IF(C$5&gt;=79,Premissas!$B$18,0)-C$5*Premissas!$B$20-C$5*Premissas!$B$12-C$5*Premissas!$B$13-$A14*$B$3)/C$5)</f>
        <v/>
      </c>
      <c r="D14" s="50">
        <f>IF(D$5=0,0,(D$5-D$5*Premissas!$B$17-IF(D$5&lt;79,Premissas!$B$19,0)-IF(D$5&gt;=79,Premissas!$B$18,0)-D$5*Premissas!$B$20-D$5*Premissas!$B$12-D$5*Premissas!$B$13-$A14*$B$3)/D$5)</f>
        <v/>
      </c>
      <c r="E14" s="50">
        <f>IF(E$5=0,0,(E$5-E$5*Premissas!$B$17-IF(E$5&lt;79,Premissas!$B$19,0)-IF(E$5&gt;=79,Premissas!$B$18,0)-E$5*Premissas!$B$20-E$5*Premissas!$B$12-E$5*Premissas!$B$13-$A14*$B$3)/E$5)</f>
        <v/>
      </c>
      <c r="F14" s="50">
        <f>IF(F$5=0,0,(F$5-F$5*Premissas!$B$17-IF(F$5&lt;79,Premissas!$B$19,0)-IF(F$5&gt;=79,Premissas!$B$18,0)-F$5*Premissas!$B$20-F$5*Premissas!$B$12-F$5*Premissas!$B$13-$A14*$B$3)/F$5)</f>
        <v/>
      </c>
      <c r="G14" s="50">
        <f>IF(G$5=0,0,(G$5-G$5*Premissas!$B$17-IF(G$5&lt;79,Premissas!$B$19,0)-IF(G$5&gt;=79,Premissas!$B$18,0)-G$5*Premissas!$B$20-G$5*Premissas!$B$12-G$5*Premissas!$B$13-$A14*$B$3)/G$5)</f>
        <v/>
      </c>
      <c r="H14" s="50">
        <f>IF(H$5=0,0,(H$5-H$5*Premissas!$B$17-IF(H$5&lt;79,Premissas!$B$19,0)-IF(H$5&gt;=79,Premissas!$B$18,0)-H$5*Premissas!$B$20-H$5*Premissas!$B$12-H$5*Premissas!$B$13-$A14*$B$3)/H$5)</f>
        <v/>
      </c>
      <c r="I14" s="50">
        <f>IF(I$5=0,0,(I$5-I$5*Premissas!$B$17-IF(I$5&lt;79,Premissas!$B$19,0)-IF(I$5&gt;=79,Premissas!$B$18,0)-I$5*Premissas!$B$20-I$5*Premissas!$B$12-I$5*Premissas!$B$13-$A14*$B$3)/I$5)</f>
        <v/>
      </c>
    </row>
    <row r="15">
      <c r="A15" s="25" t="n">
        <v>34.71</v>
      </c>
      <c r="B15" s="50">
        <f>IF(B$5=0,0,(B$5-B$5*Premissas!$B$17-IF(B$5&lt;79,Premissas!$B$19,0)-IF(B$5&gt;=79,Premissas!$B$18,0)-B$5*Premissas!$B$20-B$5*Premissas!$B$12-B$5*Premissas!$B$13-$A15*$B$3)/B$5)</f>
        <v/>
      </c>
      <c r="C15" s="50">
        <f>IF(C$5=0,0,(C$5-C$5*Premissas!$B$17-IF(C$5&lt;79,Premissas!$B$19,0)-IF(C$5&gt;=79,Premissas!$B$18,0)-C$5*Premissas!$B$20-C$5*Premissas!$B$12-C$5*Premissas!$B$13-$A15*$B$3)/C$5)</f>
        <v/>
      </c>
      <c r="D15" s="50">
        <f>IF(D$5=0,0,(D$5-D$5*Premissas!$B$17-IF(D$5&lt;79,Premissas!$B$19,0)-IF(D$5&gt;=79,Premissas!$B$18,0)-D$5*Premissas!$B$20-D$5*Premissas!$B$12-D$5*Premissas!$B$13-$A15*$B$3)/D$5)</f>
        <v/>
      </c>
      <c r="E15" s="50">
        <f>IF(E$5=0,0,(E$5-E$5*Premissas!$B$17-IF(E$5&lt;79,Premissas!$B$19,0)-IF(E$5&gt;=79,Premissas!$B$18,0)-E$5*Premissas!$B$20-E$5*Premissas!$B$12-E$5*Premissas!$B$13-$A15*$B$3)/E$5)</f>
        <v/>
      </c>
      <c r="F15" s="50">
        <f>IF(F$5=0,0,(F$5-F$5*Premissas!$B$17-IF(F$5&lt;79,Premissas!$B$19,0)-IF(F$5&gt;=79,Premissas!$B$18,0)-F$5*Premissas!$B$20-F$5*Premissas!$B$12-F$5*Premissas!$B$13-$A15*$B$3)/F$5)</f>
        <v/>
      </c>
      <c r="G15" s="50">
        <f>IF(G$5=0,0,(G$5-G$5*Premissas!$B$17-IF(G$5&lt;79,Premissas!$B$19,0)-IF(G$5&gt;=79,Premissas!$B$18,0)-G$5*Premissas!$B$20-G$5*Premissas!$B$12-G$5*Premissas!$B$13-$A15*$B$3)/G$5)</f>
        <v/>
      </c>
      <c r="H15" s="50">
        <f>IF(H$5=0,0,(H$5-H$5*Premissas!$B$17-IF(H$5&lt;79,Premissas!$B$19,0)-IF(H$5&gt;=79,Premissas!$B$18,0)-H$5*Premissas!$B$20-H$5*Premissas!$B$12-H$5*Premissas!$B$13-$A15*$B$3)/H$5)</f>
        <v/>
      </c>
      <c r="I15" s="50">
        <f>IF(I$5=0,0,(I$5-I$5*Premissas!$B$17-IF(I$5&lt;79,Premissas!$B$19,0)-IF(I$5&gt;=79,Premissas!$B$18,0)-I$5*Premissas!$B$20-I$5*Premissas!$B$12-I$5*Premissas!$B$13-$A15*$B$3)/I$5)</f>
        <v/>
      </c>
    </row>
    <row r="17">
      <c r="A17" s="2" t="inlineStr">
        <is>
          <t>Leitura: verde = 20% ou mais; amarelo = entre 0% e 15%; vermelho = prejuízo. A formatação condicional está aplicada na grade.</t>
        </is>
      </c>
    </row>
  </sheetData>
  <mergeCells count="1">
    <mergeCell ref="A17:I17"/>
  </mergeCells>
  <conditionalFormatting sqref="B6:I15">
    <cfRule type="cellIs" priority="1" operator="lessThan" dxfId="0">
      <formula>0</formula>
    </cfRule>
    <cfRule type="cellIs" priority="2" operator="between" dxfId="1">
      <formula>0</formula>
      <formula>0.15</formula>
    </cfRule>
    <cfRule type="cellIs" priority="3" operator="greaterThanOrEqual" dxfId="2">
      <formula>0.20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PROJEÇÃO DE 12 MESES — CENÁRIO RECOMENDADO</t>
        </is>
      </c>
    </row>
    <row r="2">
      <c r="A2" s="2" t="inlineStr">
        <is>
          <t>Volumes em azul são premissas de rampa de vendedor novo em moda. Troque pelos seus números assim que tiver histórico.</t>
        </is>
      </c>
    </row>
    <row r="3">
      <c r="A3" s="7" t="inlineStr">
        <is>
          <t>Fator de cenário:</t>
        </is>
      </c>
      <c r="B3" s="51" t="n">
        <v>1</v>
      </c>
      <c r="C3" s="2" t="inlineStr">
        <is>
          <t>Use 0,60 para o cenário conservador, 1,00 para o base e 1,50 para o agressivo.</t>
        </is>
      </c>
    </row>
    <row r="5" ht="30" customHeight="1">
      <c r="A5" s="20" t="inlineStr">
        <is>
          <t>Mês</t>
        </is>
      </c>
      <c r="B5" s="21" t="inlineStr">
        <is>
          <t>Kits ML</t>
        </is>
      </c>
      <c r="C5" s="21" t="inlineStr">
        <is>
          <t>Kits Shopee</t>
        </is>
      </c>
      <c r="D5" s="21" t="inlineStr">
        <is>
          <t>Kits TikTok</t>
        </is>
      </c>
      <c r="E5" s="21" t="inlineStr">
        <is>
          <t>Total kits</t>
        </is>
      </c>
      <c r="F5" s="21" t="inlineStr">
        <is>
          <t>Faturamento</t>
        </is>
      </c>
      <c r="G5" s="21" t="inlineStr">
        <is>
          <t>MC Mercado Livre</t>
        </is>
      </c>
      <c r="H5" s="21" t="inlineStr">
        <is>
          <t>MC Shopee</t>
        </is>
      </c>
      <c r="I5" s="21" t="inlineStr">
        <is>
          <t>MC TikTok</t>
        </is>
      </c>
      <c r="J5" s="21" t="inlineStr">
        <is>
          <t>MC total</t>
        </is>
      </c>
      <c r="K5" s="21" t="inlineStr">
        <is>
          <t>Custo fixo</t>
        </is>
      </c>
      <c r="L5" s="21" t="inlineStr">
        <is>
          <t>Resultado</t>
        </is>
      </c>
      <c r="M5" s="21" t="inlineStr">
        <is>
          <t>Acumulado</t>
        </is>
      </c>
    </row>
    <row r="6">
      <c r="A6" s="52" t="n">
        <v>1</v>
      </c>
      <c r="B6" s="37" t="n">
        <v>40</v>
      </c>
      <c r="C6" s="37" t="n">
        <v>15</v>
      </c>
      <c r="D6" s="37" t="n">
        <v>10</v>
      </c>
      <c r="E6" s="34">
        <f>(B6+C6+D6)*$B$3</f>
        <v/>
      </c>
      <c r="F6" s="53">
        <f>E6*Premissas!$B$7</f>
        <v/>
      </c>
      <c r="G6" s="53">
        <f>B6*$B$3*Calculadora!$B$15</f>
        <v/>
      </c>
      <c r="H6" s="53">
        <f>C6*$B$3*Calculadora!$C$15</f>
        <v/>
      </c>
      <c r="I6" s="53">
        <f>D6*$B$3*Calculadora!$D$15</f>
        <v/>
      </c>
      <c r="J6" s="53">
        <f>SUM(G6:I6)</f>
        <v/>
      </c>
      <c r="K6" s="53">
        <f>Premissas!$B$14</f>
        <v/>
      </c>
      <c r="L6" s="54">
        <f>J6-K6</f>
        <v/>
      </c>
      <c r="M6" s="54">
        <f>L6</f>
        <v/>
      </c>
    </row>
    <row r="7">
      <c r="A7" s="52" t="n">
        <v>2</v>
      </c>
      <c r="B7" s="37" t="n">
        <v>70</v>
      </c>
      <c r="C7" s="37" t="n">
        <v>30</v>
      </c>
      <c r="D7" s="37" t="n">
        <v>25</v>
      </c>
      <c r="E7" s="34">
        <f>(B7+C7+D7)*$B$3</f>
        <v/>
      </c>
      <c r="F7" s="53">
        <f>E7*Premissas!$B$7</f>
        <v/>
      </c>
      <c r="G7" s="53">
        <f>B7*$B$3*Calculadora!$B$15</f>
        <v/>
      </c>
      <c r="H7" s="53">
        <f>C7*$B$3*Calculadora!$C$15</f>
        <v/>
      </c>
      <c r="I7" s="53">
        <f>D7*$B$3*Calculadora!$D$15</f>
        <v/>
      </c>
      <c r="J7" s="53">
        <f>SUM(G7:I7)</f>
        <v/>
      </c>
      <c r="K7" s="53">
        <f>Premissas!$B$14</f>
        <v/>
      </c>
      <c r="L7" s="54">
        <f>J7-K7</f>
        <v/>
      </c>
      <c r="M7" s="54">
        <f>M6+L7</f>
        <v/>
      </c>
    </row>
    <row r="8">
      <c r="A8" s="52" t="n">
        <v>3</v>
      </c>
      <c r="B8" s="37" t="n">
        <v>110</v>
      </c>
      <c r="C8" s="37" t="n">
        <v>55</v>
      </c>
      <c r="D8" s="37" t="n">
        <v>50</v>
      </c>
      <c r="E8" s="34">
        <f>(B8+C8+D8)*$B$3</f>
        <v/>
      </c>
      <c r="F8" s="53">
        <f>E8*Premissas!$B$7</f>
        <v/>
      </c>
      <c r="G8" s="53">
        <f>B8*$B$3*Calculadora!$B$15</f>
        <v/>
      </c>
      <c r="H8" s="53">
        <f>C8*$B$3*Calculadora!$C$15</f>
        <v/>
      </c>
      <c r="I8" s="53">
        <f>D8*$B$3*Calculadora!$D$15</f>
        <v/>
      </c>
      <c r="J8" s="53">
        <f>SUM(G8:I8)</f>
        <v/>
      </c>
      <c r="K8" s="53">
        <f>Premissas!$B$14</f>
        <v/>
      </c>
      <c r="L8" s="54">
        <f>J8-K8</f>
        <v/>
      </c>
      <c r="M8" s="54">
        <f>M7+L8</f>
        <v/>
      </c>
    </row>
    <row r="9">
      <c r="A9" s="52" t="n">
        <v>4</v>
      </c>
      <c r="B9" s="37" t="n">
        <v>170</v>
      </c>
      <c r="C9" s="37" t="n">
        <v>90</v>
      </c>
      <c r="D9" s="37" t="n">
        <v>85</v>
      </c>
      <c r="E9" s="34">
        <f>(B9+C9+D9)*$B$3</f>
        <v/>
      </c>
      <c r="F9" s="53">
        <f>E9*Premissas!$B$7</f>
        <v/>
      </c>
      <c r="G9" s="53">
        <f>B9*$B$3*Calculadora!$B$15</f>
        <v/>
      </c>
      <c r="H9" s="53">
        <f>C9*$B$3*Calculadora!$C$15</f>
        <v/>
      </c>
      <c r="I9" s="53">
        <f>D9*$B$3*Calculadora!$D$15</f>
        <v/>
      </c>
      <c r="J9" s="53">
        <f>SUM(G9:I9)</f>
        <v/>
      </c>
      <c r="K9" s="53">
        <f>Premissas!$B$14</f>
        <v/>
      </c>
      <c r="L9" s="54">
        <f>J9-K9</f>
        <v/>
      </c>
      <c r="M9" s="54">
        <f>M8+L9</f>
        <v/>
      </c>
    </row>
    <row r="10">
      <c r="A10" s="52" t="n">
        <v>5</v>
      </c>
      <c r="B10" s="37" t="n">
        <v>240</v>
      </c>
      <c r="C10" s="37" t="n">
        <v>130</v>
      </c>
      <c r="D10" s="37" t="n">
        <v>130</v>
      </c>
      <c r="E10" s="34">
        <f>(B10+C10+D10)*$B$3</f>
        <v/>
      </c>
      <c r="F10" s="53">
        <f>E10*Premissas!$B$7</f>
        <v/>
      </c>
      <c r="G10" s="53">
        <f>B10*$B$3*Calculadora!$B$15</f>
        <v/>
      </c>
      <c r="H10" s="53">
        <f>C10*$B$3*Calculadora!$C$15</f>
        <v/>
      </c>
      <c r="I10" s="53">
        <f>D10*$B$3*Calculadora!$D$15</f>
        <v/>
      </c>
      <c r="J10" s="53">
        <f>SUM(G10:I10)</f>
        <v/>
      </c>
      <c r="K10" s="53">
        <f>Premissas!$B$14</f>
        <v/>
      </c>
      <c r="L10" s="54">
        <f>J10-K10</f>
        <v/>
      </c>
      <c r="M10" s="54">
        <f>M9+L10</f>
        <v/>
      </c>
    </row>
    <row r="11">
      <c r="A11" s="52" t="n">
        <v>6</v>
      </c>
      <c r="B11" s="37" t="n">
        <v>310</v>
      </c>
      <c r="C11" s="37" t="n">
        <v>175</v>
      </c>
      <c r="D11" s="37" t="n">
        <v>180</v>
      </c>
      <c r="E11" s="34">
        <f>(B11+C11+D11)*$B$3</f>
        <v/>
      </c>
      <c r="F11" s="53">
        <f>E11*Premissas!$B$7</f>
        <v/>
      </c>
      <c r="G11" s="53">
        <f>B11*$B$3*Calculadora!$B$15</f>
        <v/>
      </c>
      <c r="H11" s="53">
        <f>C11*$B$3*Calculadora!$C$15</f>
        <v/>
      </c>
      <c r="I11" s="53">
        <f>D11*$B$3*Calculadora!$D$15</f>
        <v/>
      </c>
      <c r="J11" s="53">
        <f>SUM(G11:I11)</f>
        <v/>
      </c>
      <c r="K11" s="53">
        <f>Premissas!$B$14</f>
        <v/>
      </c>
      <c r="L11" s="54">
        <f>J11-K11</f>
        <v/>
      </c>
      <c r="M11" s="54">
        <f>M10+L11</f>
        <v/>
      </c>
    </row>
    <row r="12">
      <c r="A12" s="52" t="n">
        <v>7</v>
      </c>
      <c r="B12" s="37" t="n">
        <v>380</v>
      </c>
      <c r="C12" s="37" t="n">
        <v>220</v>
      </c>
      <c r="D12" s="37" t="n">
        <v>230</v>
      </c>
      <c r="E12" s="34">
        <f>(B12+C12+D12)*$B$3</f>
        <v/>
      </c>
      <c r="F12" s="53">
        <f>E12*Premissas!$B$7</f>
        <v/>
      </c>
      <c r="G12" s="53">
        <f>B12*$B$3*Calculadora!$B$15</f>
        <v/>
      </c>
      <c r="H12" s="53">
        <f>C12*$B$3*Calculadora!$C$15</f>
        <v/>
      </c>
      <c r="I12" s="53">
        <f>D12*$B$3*Calculadora!$D$15</f>
        <v/>
      </c>
      <c r="J12" s="53">
        <f>SUM(G12:I12)</f>
        <v/>
      </c>
      <c r="K12" s="53">
        <f>Premissas!$B$14</f>
        <v/>
      </c>
      <c r="L12" s="54">
        <f>J12-K12</f>
        <v/>
      </c>
      <c r="M12" s="54">
        <f>M11+L12</f>
        <v/>
      </c>
    </row>
    <row r="13">
      <c r="A13" s="52" t="n">
        <v>8</v>
      </c>
      <c r="B13" s="37" t="n">
        <v>450</v>
      </c>
      <c r="C13" s="37" t="n">
        <v>265</v>
      </c>
      <c r="D13" s="37" t="n">
        <v>290</v>
      </c>
      <c r="E13" s="34">
        <f>(B13+C13+D13)*$B$3</f>
        <v/>
      </c>
      <c r="F13" s="53">
        <f>E13*Premissas!$B$7</f>
        <v/>
      </c>
      <c r="G13" s="53">
        <f>B13*$B$3*Calculadora!$B$15</f>
        <v/>
      </c>
      <c r="H13" s="53">
        <f>C13*$B$3*Calculadora!$C$15</f>
        <v/>
      </c>
      <c r="I13" s="53">
        <f>D13*$B$3*Calculadora!$D$15</f>
        <v/>
      </c>
      <c r="J13" s="53">
        <f>SUM(G13:I13)</f>
        <v/>
      </c>
      <c r="K13" s="53">
        <f>Premissas!$B$14</f>
        <v/>
      </c>
      <c r="L13" s="54">
        <f>J13-K13</f>
        <v/>
      </c>
      <c r="M13" s="54">
        <f>M12+L13</f>
        <v/>
      </c>
    </row>
    <row r="14">
      <c r="A14" s="52" t="n">
        <v>9</v>
      </c>
      <c r="B14" s="37" t="n">
        <v>520</v>
      </c>
      <c r="C14" s="37" t="n">
        <v>310</v>
      </c>
      <c r="D14" s="37" t="n">
        <v>350</v>
      </c>
      <c r="E14" s="34">
        <f>(B14+C14+D14)*$B$3</f>
        <v/>
      </c>
      <c r="F14" s="53">
        <f>E14*Premissas!$B$7</f>
        <v/>
      </c>
      <c r="G14" s="53">
        <f>B14*$B$3*Calculadora!$B$15</f>
        <v/>
      </c>
      <c r="H14" s="53">
        <f>C14*$B$3*Calculadora!$C$15</f>
        <v/>
      </c>
      <c r="I14" s="53">
        <f>D14*$B$3*Calculadora!$D$15</f>
        <v/>
      </c>
      <c r="J14" s="53">
        <f>SUM(G14:I14)</f>
        <v/>
      </c>
      <c r="K14" s="53">
        <f>Premissas!$B$14</f>
        <v/>
      </c>
      <c r="L14" s="54">
        <f>J14-K14</f>
        <v/>
      </c>
      <c r="M14" s="54">
        <f>M13+L14</f>
        <v/>
      </c>
    </row>
    <row r="15">
      <c r="A15" s="52" t="n">
        <v>10</v>
      </c>
      <c r="B15" s="37" t="n">
        <v>600</v>
      </c>
      <c r="C15" s="37" t="n">
        <v>355</v>
      </c>
      <c r="D15" s="37" t="n">
        <v>410</v>
      </c>
      <c r="E15" s="34">
        <f>(B15+C15+D15)*$B$3</f>
        <v/>
      </c>
      <c r="F15" s="53">
        <f>E15*Premissas!$B$7</f>
        <v/>
      </c>
      <c r="G15" s="53">
        <f>B15*$B$3*Calculadora!$B$15</f>
        <v/>
      </c>
      <c r="H15" s="53">
        <f>C15*$B$3*Calculadora!$C$15</f>
        <v/>
      </c>
      <c r="I15" s="53">
        <f>D15*$B$3*Calculadora!$D$15</f>
        <v/>
      </c>
      <c r="J15" s="53">
        <f>SUM(G15:I15)</f>
        <v/>
      </c>
      <c r="K15" s="53">
        <f>Premissas!$B$14</f>
        <v/>
      </c>
      <c r="L15" s="54">
        <f>J15-K15</f>
        <v/>
      </c>
      <c r="M15" s="54">
        <f>M14+L15</f>
        <v/>
      </c>
    </row>
    <row r="16">
      <c r="A16" s="52" t="n">
        <v>11</v>
      </c>
      <c r="B16" s="37" t="n">
        <v>700</v>
      </c>
      <c r="C16" s="37" t="n">
        <v>400</v>
      </c>
      <c r="D16" s="37" t="n">
        <v>470</v>
      </c>
      <c r="E16" s="34">
        <f>(B16+C16+D16)*$B$3</f>
        <v/>
      </c>
      <c r="F16" s="53">
        <f>E16*Premissas!$B$7</f>
        <v/>
      </c>
      <c r="G16" s="53">
        <f>B16*$B$3*Calculadora!$B$15</f>
        <v/>
      </c>
      <c r="H16" s="53">
        <f>C16*$B$3*Calculadora!$C$15</f>
        <v/>
      </c>
      <c r="I16" s="53">
        <f>D16*$B$3*Calculadora!$D$15</f>
        <v/>
      </c>
      <c r="J16" s="53">
        <f>SUM(G16:I16)</f>
        <v/>
      </c>
      <c r="K16" s="53">
        <f>Premissas!$B$14</f>
        <v/>
      </c>
      <c r="L16" s="54">
        <f>J16-K16</f>
        <v/>
      </c>
      <c r="M16" s="54">
        <f>M15+L16</f>
        <v/>
      </c>
    </row>
    <row r="17">
      <c r="A17" s="52" t="n">
        <v>12</v>
      </c>
      <c r="B17" s="37" t="n">
        <v>820</v>
      </c>
      <c r="C17" s="37" t="n">
        <v>450</v>
      </c>
      <c r="D17" s="37" t="n">
        <v>540</v>
      </c>
      <c r="E17" s="34">
        <f>(B17+C17+D17)*$B$3</f>
        <v/>
      </c>
      <c r="F17" s="53">
        <f>E17*Premissas!$B$7</f>
        <v/>
      </c>
      <c r="G17" s="53">
        <f>B17*$B$3*Calculadora!$B$15</f>
        <v/>
      </c>
      <c r="H17" s="53">
        <f>C17*$B$3*Calculadora!$C$15</f>
        <v/>
      </c>
      <c r="I17" s="53">
        <f>D17*$B$3*Calculadora!$D$15</f>
        <v/>
      </c>
      <c r="J17" s="53">
        <f>SUM(G17:I17)</f>
        <v/>
      </c>
      <c r="K17" s="53">
        <f>Premissas!$B$14</f>
        <v/>
      </c>
      <c r="L17" s="54">
        <f>J17-K17</f>
        <v/>
      </c>
      <c r="M17" s="54">
        <f>M16+L17</f>
        <v/>
      </c>
    </row>
    <row r="18">
      <c r="A18" s="4" t="inlineStr">
        <is>
          <t>ANO 1</t>
        </is>
      </c>
      <c r="B18" s="55">
        <f>SUM(B6:B17)</f>
        <v/>
      </c>
      <c r="C18" s="55">
        <f>SUM(C6:C17)</f>
        <v/>
      </c>
      <c r="D18" s="55">
        <f>SUM(D6:D17)</f>
        <v/>
      </c>
      <c r="E18" s="55">
        <f>SUM(E6:E17)</f>
        <v/>
      </c>
      <c r="F18" s="56">
        <f>SUM(F6:F17)</f>
        <v/>
      </c>
      <c r="G18" s="56">
        <f>SUM(G6:G17)</f>
        <v/>
      </c>
      <c r="H18" s="56">
        <f>SUM(H6:H17)</f>
        <v/>
      </c>
      <c r="I18" s="56">
        <f>SUM(I6:I17)</f>
        <v/>
      </c>
      <c r="J18" s="56">
        <f>SUM(J6:J17)</f>
        <v/>
      </c>
      <c r="K18" s="56">
        <f>SUM(K6:K17)</f>
        <v/>
      </c>
      <c r="L18" s="56">
        <f>SUM(L6:L17)</f>
        <v/>
      </c>
      <c r="M18" s="56">
        <f>M17</f>
        <v/>
      </c>
    </row>
    <row r="20">
      <c r="A20" s="4" t="inlineStr">
        <is>
          <t>Investimento inicial estimado</t>
        </is>
      </c>
    </row>
    <row r="21">
      <c r="A21" s="7" t="inlineStr">
        <is>
          <t>Estoque inicial · 1.200 kits</t>
        </is>
      </c>
      <c r="C21" s="57" t="n">
        <v>79416</v>
      </c>
      <c r="D21" s="2" t="inlineStr">
        <is>
          <t>Premissa: 1.200 kits × 3 peças × custo por peça.</t>
        </is>
      </c>
    </row>
    <row r="22">
      <c r="A22" s="7" t="inlineStr">
        <is>
          <t>Fotografia e conteúdo · 8 SKUs</t>
        </is>
      </c>
      <c r="C22" s="57" t="n">
        <v>18000</v>
      </c>
      <c r="D22" s="2" t="inlineStr">
        <is>
          <t>Modelo real, 7 imagens por SKU, foto de detalhe da gola e da etiqueta.</t>
        </is>
      </c>
    </row>
    <row r="23">
      <c r="A23" s="7" t="inlineStr">
        <is>
          <t>ERP e hub de integração · setup + 12 meses</t>
        </is>
      </c>
      <c r="C23" s="57" t="n">
        <v>9600</v>
      </c>
      <c r="D23" s="2" t="inlineStr">
        <is>
          <t>Gestão de estoque unificada entre as três plataformas.</t>
        </is>
      </c>
    </row>
    <row r="24">
      <c r="A24" s="7" t="inlineStr">
        <is>
          <t>Ferramentas de inteligência · 12 meses</t>
        </is>
      </c>
      <c r="C24" s="57" t="n">
        <v>7200</v>
      </c>
      <c r="D24" s="2" t="inlineStr">
        <is>
          <t>Nubimetrics para Mercado Livre e Kalodata para TikTok Shop.</t>
        </is>
      </c>
    </row>
    <row r="25">
      <c r="A25" s="7" t="inlineStr">
        <is>
          <t>Caixa de mídia · 3 meses</t>
        </is>
      </c>
      <c r="C25" s="57" t="n">
        <v>15000</v>
      </c>
      <c r="D25" s="2" t="inlineStr">
        <is>
          <t>Product Ads e Shopee Ads no período de maturação da reputação.</t>
        </is>
      </c>
    </row>
    <row r="26">
      <c r="A26" s="7" t="inlineStr">
        <is>
          <t>Reserva operacional</t>
        </is>
      </c>
      <c r="C26" s="57" t="n">
        <v>25000</v>
      </c>
      <c r="D26" s="2" t="inlineStr">
        <is>
          <t>O repasse do marketplace leva de 14 a 30 dias; o caixa precisa cobrir 60 dias de ciclo.</t>
        </is>
      </c>
    </row>
    <row r="27">
      <c r="A27" s="4" t="inlineStr">
        <is>
          <t>TOTAL DO INVESTIMENTO</t>
        </is>
      </c>
      <c r="C27" s="58">
        <f>SUM(C21:C26)</f>
        <v/>
      </c>
    </row>
    <row r="29">
      <c r="A29" s="4" t="inlineStr">
        <is>
          <t>Mês em que o caixa acumulado cobre o investimento</t>
        </is>
      </c>
      <c r="C29" s="33">
        <f>IF(COUNTIF(M6:M17,"&gt;="&amp;C27)=0,"após o mês 12",13-COUNTIF(M6:M17,"&gt;="&amp;C27))</f>
        <v/>
      </c>
      <c r="D29" s="2" t="inlineStr">
        <is>
          <t>Compara o resultado acumulado mês a mês com o investimento total.</t>
        </is>
      </c>
    </row>
    <row r="30">
      <c r="A30" s="4" t="inlineStr">
        <is>
          <t>Mês do equilíbrio operacional</t>
        </is>
      </c>
      <c r="C30" s="33">
        <f>IF(COUNTIF(L6:L17,"&gt;=0")=0,"após o mês 12",13-COUNTIF(L6:L17,"&gt;=0"))</f>
        <v/>
      </c>
      <c r="D30" s="2" t="inlineStr">
        <is>
          <t>Primeiro mês em que a margem de contribuição cobre o custo fixo.</t>
        </is>
      </c>
    </row>
  </sheetData>
  <mergeCells count="6">
    <mergeCell ref="D23:M23"/>
    <mergeCell ref="D22:M22"/>
    <mergeCell ref="D26:M26"/>
    <mergeCell ref="D21:M21"/>
    <mergeCell ref="D25:M25"/>
    <mergeCell ref="D24:M2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70" customWidth="1" min="3" max="3"/>
  </cols>
  <sheetData>
    <row r="1">
      <c r="A1" s="1" t="inlineStr">
        <is>
          <t>CALCULADORA DE MÍDIA — LOJA PRÓPRIA</t>
        </is>
      </c>
    </row>
    <row r="2">
      <c r="A2" s="2" t="inlineStr">
        <is>
          <t>Meta cobra por impressão; Google cobra por clique. Os dois alimentam o mesmo produto.</t>
        </is>
      </c>
    </row>
    <row r="4">
      <c r="A4" s="3" t="inlineStr">
        <is>
          <t>ENTRADAS</t>
        </is>
      </c>
      <c r="B4" s="3" t="n"/>
      <c r="C4" s="3" t="n"/>
    </row>
    <row r="5">
      <c r="A5" s="7" t="inlineStr">
        <is>
          <t>Ticket médio</t>
        </is>
      </c>
      <c r="B5" s="59">
        <f>Premissas!$B$7</f>
        <v/>
      </c>
      <c r="C5" s="11" t="inlineStr">
        <is>
          <t>Vem de Premissas!B7.</t>
        </is>
      </c>
    </row>
    <row r="6">
      <c r="A6" s="7" t="inlineStr">
        <is>
          <t>Margem antes de mídia (%)</t>
        </is>
      </c>
      <c r="B6" s="60">
        <f>Calculadora!$E$20</f>
        <v/>
      </c>
      <c r="C6" s="11" t="inlineStr">
        <is>
          <t>Vem da Calculadora — loja própria, antes do custo de aquisição.</t>
        </is>
      </c>
    </row>
    <row r="7">
      <c r="A7" s="7" t="inlineStr">
        <is>
          <t>Verba mensal total</t>
        </is>
      </c>
      <c r="B7" s="61" t="n">
        <v>10000</v>
      </c>
      <c r="C7" s="18" t="n"/>
    </row>
    <row r="8">
      <c r="A8" s="7" t="inlineStr">
        <is>
          <t>Split da verba para Meta</t>
        </is>
      </c>
      <c r="B8" s="26" t="n">
        <v>0.7</v>
      </c>
      <c r="C8" s="11" t="inlineStr">
        <is>
          <t>O restante vai para o Google.</t>
        </is>
      </c>
    </row>
    <row r="9">
      <c r="A9" s="7" t="inlineStr">
        <is>
          <t>CPM — Meta</t>
        </is>
      </c>
      <c r="B9" s="25" t="n">
        <v>22</v>
      </c>
      <c r="C9" s="11" t="inlineStr">
        <is>
          <t>Feed no Brasil em 2026: R$ 15 a R$ 35. Stories e Reels: R$ 8 a R$ 20.</t>
        </is>
      </c>
    </row>
    <row r="10">
      <c r="A10" s="7" t="inlineStr">
        <is>
          <t>CTR — Meta</t>
        </is>
      </c>
      <c r="B10" s="62" t="n">
        <v>0.016</v>
      </c>
      <c r="C10" s="11" t="inlineStr">
        <is>
          <t>Percentual de cliques sobre impressões.</t>
        </is>
      </c>
    </row>
    <row r="11">
      <c r="A11" s="7" t="inlineStr">
        <is>
          <t>Conversão — Meta</t>
        </is>
      </c>
      <c r="B11" s="63" t="n">
        <v>0.015</v>
      </c>
      <c r="C11" s="11" t="inlineStr">
        <is>
          <t>Percentual de pedidos sobre cliques.</t>
        </is>
      </c>
    </row>
    <row r="12">
      <c r="A12" s="7" t="inlineStr">
        <is>
          <t>CPC — Google</t>
        </is>
      </c>
      <c r="B12" s="25" t="n">
        <v>2.5</v>
      </c>
      <c r="C12" s="11" t="inlineStr">
        <is>
          <t>E-commerce de moda no Brasil: R$ 1,50 a R$ 4,00.</t>
        </is>
      </c>
    </row>
    <row r="13">
      <c r="A13" s="7" t="inlineStr">
        <is>
          <t>Conversão — Google</t>
        </is>
      </c>
      <c r="B13" s="62" t="n">
        <v>0.022</v>
      </c>
      <c r="C13" s="11" t="inlineStr">
        <is>
          <t>A busca converte melhor porque a intenção já existe.</t>
        </is>
      </c>
    </row>
    <row r="14">
      <c r="A14" s="7" t="inlineStr">
        <is>
          <t>Taxa de recompra em 12 meses</t>
        </is>
      </c>
      <c r="B14" s="26" t="n">
        <v>0.35</v>
      </c>
      <c r="C14" s="11" t="inlineStr">
        <is>
          <t>Sem retenção estruturada: 15% a 25%. Com fidelidade e e-mail: 35% a 50%.</t>
        </is>
      </c>
    </row>
    <row r="15">
      <c r="A15" s="7" t="inlineStr">
        <is>
          <t>Pedidos extras por recomprador</t>
        </is>
      </c>
      <c r="B15" s="64" t="n">
        <v>1.4</v>
      </c>
      <c r="C15" s="18" t="n"/>
    </row>
    <row r="16">
      <c r="C16" s="18" t="n"/>
    </row>
    <row r="17">
      <c r="A17" s="3" t="inlineStr">
        <is>
          <t>RESULTADO</t>
        </is>
      </c>
      <c r="B17" s="3" t="n"/>
      <c r="C17" s="65" t="n"/>
    </row>
    <row r="18">
      <c r="A18" s="4" t="inlineStr">
        <is>
          <t>Margem de contribuição por pedido</t>
        </is>
      </c>
      <c r="B18" s="38">
        <f>B5*B6</f>
        <v/>
      </c>
      <c r="C18" s="11" t="inlineStr">
        <is>
          <t>Antes do custo de mídia.</t>
        </is>
      </c>
    </row>
    <row r="19">
      <c r="A19" s="4" t="inlineStr">
        <is>
          <t>ROAS de equilíbrio</t>
        </is>
      </c>
      <c r="B19" s="36">
        <f>IF(B6&lt;=0,"—",1/B6)</f>
        <v/>
      </c>
      <c r="C19" s="11" t="inlineStr">
        <is>
          <t>Abaixo disso a mídia não se paga. Mediana de mercado em Meta Ads: 1,93x.</t>
        </is>
      </c>
    </row>
    <row r="20">
      <c r="A20" s="7" t="inlineStr">
        <is>
          <t>Verba — Meta</t>
        </is>
      </c>
      <c r="B20" s="53">
        <f>B7*B8</f>
        <v/>
      </c>
      <c r="C20" s="18" t="n"/>
    </row>
    <row r="21">
      <c r="A21" s="7" t="inlineStr">
        <is>
          <t>Verba — Google</t>
        </is>
      </c>
      <c r="B21" s="53">
        <f>B7-B20</f>
        <v/>
      </c>
      <c r="C21" s="18" t="n"/>
    </row>
    <row r="22">
      <c r="A22" s="7" t="inlineStr">
        <is>
          <t>Impressões — Meta</t>
        </is>
      </c>
      <c r="B22" s="34">
        <f>IF(B9=0,0,B20/B9*1000)</f>
        <v/>
      </c>
      <c r="C22" s="18" t="n"/>
    </row>
    <row r="23">
      <c r="A23" s="7" t="inlineStr">
        <is>
          <t>Cliques — Meta</t>
        </is>
      </c>
      <c r="B23" s="34">
        <f>B22*B10</f>
        <v/>
      </c>
      <c r="C23" s="18" t="n"/>
    </row>
    <row r="24">
      <c r="A24" s="7" t="inlineStr">
        <is>
          <t>Pedidos — Meta</t>
        </is>
      </c>
      <c r="B24" s="66">
        <f>B23*B11</f>
        <v/>
      </c>
      <c r="C24" s="18" t="n"/>
    </row>
    <row r="25">
      <c r="A25" s="7" t="inlineStr">
        <is>
          <t>Cliques — Google</t>
        </is>
      </c>
      <c r="B25" s="34">
        <f>IF(B12=0,0,B21/B12)</f>
        <v/>
      </c>
      <c r="C25" s="18" t="n"/>
    </row>
    <row r="26">
      <c r="A26" s="7" t="inlineStr">
        <is>
          <t>Pedidos — Google</t>
        </is>
      </c>
      <c r="B26" s="66">
        <f>B25*B13</f>
        <v/>
      </c>
      <c r="C26" s="18" t="n"/>
    </row>
    <row r="27">
      <c r="A27" s="7" t="inlineStr">
        <is>
          <t>Pedidos totais</t>
        </is>
      </c>
      <c r="B27" s="66">
        <f>B24+B26</f>
        <v/>
      </c>
      <c r="C27" s="18" t="n"/>
    </row>
    <row r="28">
      <c r="A28" s="4" t="inlineStr">
        <is>
          <t>CAC médio</t>
        </is>
      </c>
      <c r="B28" s="38">
        <f>IF(B27=0,"—",B7/B27)</f>
        <v/>
      </c>
      <c r="C28" s="11" t="inlineStr">
        <is>
          <t>Custo de aquisição por cliente. No varejo online subiu ~35% em três anos.</t>
        </is>
      </c>
    </row>
    <row r="29">
      <c r="A29" s="7" t="inlineStr">
        <is>
          <t>Receita gerada</t>
        </is>
      </c>
      <c r="B29" s="53">
        <f>B27*B5</f>
        <v/>
      </c>
      <c r="C29" s="18" t="n"/>
    </row>
    <row r="30">
      <c r="A30" s="7" t="inlineStr">
        <is>
          <t>ROAS realizado</t>
        </is>
      </c>
      <c r="B30" s="67">
        <f>IF(B7=0,0,B29/B7)</f>
        <v/>
      </c>
      <c r="C30" s="18" t="n"/>
    </row>
    <row r="31">
      <c r="A31" s="4" t="inlineStr">
        <is>
          <t>Resultado após mídia</t>
        </is>
      </c>
      <c r="B31" s="58">
        <f>B27*B18-B7</f>
        <v/>
      </c>
      <c r="C31" s="11" t="inlineStr">
        <is>
          <t>Margem gerada menos a verba. Negativo significa que a primeira compra não paga a aquisição.</t>
        </is>
      </c>
    </row>
    <row r="32">
      <c r="A32" s="7" t="inlineStr">
        <is>
          <t>LTV em 12 meses</t>
        </is>
      </c>
      <c r="B32" s="24">
        <f>B18*(1+B14*B15)</f>
        <v/>
      </c>
      <c r="C32" s="11" t="inlineStr">
        <is>
          <t>Margem da primeira compra mais a margem das recompras.</t>
        </is>
      </c>
    </row>
    <row r="33">
      <c r="A33" s="4" t="inlineStr">
        <is>
          <t>LTV ÷ CAC</t>
        </is>
      </c>
      <c r="B33" s="36">
        <f>IF(OR(B27=0,B7=0),"—",B32/(B7/B27))</f>
        <v/>
      </c>
      <c r="C33" s="11" t="inlineStr">
        <is>
          <t>A regra de mercado é no mínimo 3,0x. Abaixo disso o crescimento depende de capital.</t>
        </is>
      </c>
    </row>
    <row r="35">
      <c r="A35" s="4" t="inlineStr">
        <is>
          <t>Veredito</t>
        </is>
      </c>
      <c r="B35" s="4">
        <f>IF(B31&gt;=0,"A mídia se paga na primeira compra","A mídia NÃO se paga na primeira compra")</f>
        <v/>
      </c>
    </row>
    <row r="36" ht="32" customHeight="1">
      <c r="A36" s="4" t="inlineStr">
        <is>
          <t>Leitura</t>
        </is>
      </c>
      <c r="B36" s="68">
        <f>IF(B33&gt;=3,"Relação LTV/CAC saudável: a base financia a próxima safra.","Com este CAC, o caminho não é mídia fria — é usar o marketplace para adquirir o cliente e a loja própria para a recompra.")</f>
        <v/>
      </c>
    </row>
  </sheetData>
  <mergeCells count="2">
    <mergeCell ref="B36:C36"/>
    <mergeCell ref="B35:C3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74" customWidth="1" min="4" max="4"/>
  </cols>
  <sheetData>
    <row r="1">
      <c r="A1" s="1" t="inlineStr">
        <is>
          <t>TABELAS DE REFERÊNCIA — VIGENTES EM AGOSTO DE 2026</t>
        </is>
      </c>
    </row>
    <row r="2">
      <c r="A2" s="2" t="inlineStr">
        <is>
          <t>Consulta. Nada aqui alimenta o modelo automaticamente — as premissas ficam na aba Premissas.</t>
        </is>
      </c>
    </row>
    <row r="4">
      <c r="A4" s="3" t="inlineStr">
        <is>
          <t>MERCADO LIVRE — CATEGORIA MODA</t>
        </is>
      </c>
      <c r="B4" s="3" t="n"/>
      <c r="C4" s="3" t="n"/>
      <c r="D4" s="3" t="n"/>
    </row>
    <row r="5">
      <c r="A5" s="69" t="inlineStr">
        <is>
          <t>Tipo de anúncio</t>
        </is>
      </c>
      <c r="B5" s="69" t="inlineStr">
        <is>
          <t>Comissão</t>
        </is>
      </c>
      <c r="C5" s="69" t="inlineStr">
        <is>
          <t>Custo adicional</t>
        </is>
      </c>
      <c r="D5" s="69" t="inlineStr">
        <is>
          <t>Observação</t>
        </is>
      </c>
    </row>
    <row r="6">
      <c r="A6" s="70" t="inlineStr">
        <is>
          <t>Clássico</t>
        </is>
      </c>
      <c r="B6" s="71" t="n">
        <v>0.14</v>
      </c>
      <c r="C6" s="70" t="inlineStr">
        <is>
          <t>—</t>
        </is>
      </c>
      <c r="D6" s="70" t="inlineStr">
        <is>
          <t>Parcelamento sem juros limitado. Menor taxa, menor exposição.</t>
        </is>
      </c>
    </row>
    <row r="7">
      <c r="A7" s="70" t="inlineStr">
        <is>
          <t>Premium</t>
        </is>
      </c>
      <c r="B7" s="71" t="n">
        <v>0.19</v>
      </c>
      <c r="C7" s="70" t="inlineStr">
        <is>
          <t>—</t>
        </is>
      </c>
      <c r="D7" s="70" t="inlineStr">
        <is>
          <t>12x sem juros para o comprador e mais exposição na busca.</t>
        </is>
      </c>
    </row>
    <row r="8">
      <c r="A8" s="70" t="inlineStr">
        <is>
          <t>Preço abaixo de R$ 79</t>
        </is>
      </c>
      <c r="B8" s="70" t="inlineStr">
        <is>
          <t>—</t>
        </is>
      </c>
      <c r="C8" s="70" t="inlineStr">
        <is>
          <t>variável</t>
        </is>
      </c>
      <c r="D8" s="70" t="inlineStr">
        <is>
          <t>Desde 02/03/2026 a taxa fixa por item virou custo logístico variável, calculado por peso e dimensão. Ordem de grandeza: R$ 6 a R$ 7.</t>
        </is>
      </c>
    </row>
    <row r="9">
      <c r="A9" s="70" t="inlineStr">
        <is>
          <t>Preço igual ou acima de R$ 79</t>
        </is>
      </c>
      <c r="B9" s="70" t="inlineStr">
        <is>
          <t>—</t>
        </is>
      </c>
      <c r="C9" s="70" t="inlineStr">
        <is>
          <t>frete grátis</t>
        </is>
      </c>
      <c r="D9" s="70" t="inlineStr">
        <is>
          <t>Frete grátis obrigatório; o ML subsidia parte conforme a reputação do vendedor. Sem custo fixo por unidade.</t>
        </is>
      </c>
    </row>
    <row r="10">
      <c r="A10" s="72" t="inlineStr">
        <is>
          <t>Mudança de 02/03/2026: a tarifa logística passou a incidir em toda venda, independentemente de quem paga o frete. Armazenagem no Full ficou 7,6% mais cara.</t>
        </is>
      </c>
    </row>
    <row r="12">
      <c r="A12" s="3" t="inlineStr">
        <is>
          <t>SHOPEE — TABELA DE MARÇO DE 2026</t>
        </is>
      </c>
      <c r="B12" s="3" t="n"/>
      <c r="C12" s="3" t="n"/>
      <c r="D12" s="3" t="n"/>
    </row>
    <row r="13">
      <c r="A13" s="69" t="inlineStr">
        <is>
          <t>Faixa de preço</t>
        </is>
      </c>
      <c r="B13" s="69" t="inlineStr">
        <is>
          <t>Comissão</t>
        </is>
      </c>
      <c r="C13" s="69" t="inlineStr">
        <is>
          <t>Taxa fixa por item</t>
        </is>
      </c>
      <c r="D13" s="69" t="inlineStr">
        <is>
          <t>Observação</t>
        </is>
      </c>
    </row>
    <row r="14">
      <c r="A14" s="70" t="inlineStr">
        <is>
          <t>Abaixo de R$ 8</t>
        </is>
      </c>
      <c r="B14" s="71" t="n">
        <v>0.5</v>
      </c>
      <c r="C14" s="73" t="n">
        <v>0</v>
      </c>
      <c r="D14" s="70" t="inlineStr">
        <is>
          <t>Faixa punitiva; inviável para qualquer produto físico.</t>
        </is>
      </c>
    </row>
    <row r="15">
      <c r="A15" s="70" t="inlineStr">
        <is>
          <t>De R$ 8 a R$ 79,99</t>
        </is>
      </c>
      <c r="B15" s="71" t="n">
        <v>0.2</v>
      </c>
      <c r="C15" s="73" t="n">
        <v>4</v>
      </c>
      <c r="D15" s="70" t="inlineStr">
        <is>
          <t>A pior faixa para ticket baixo: 20% mais R$ 4.</t>
        </is>
      </c>
    </row>
    <row r="16">
      <c r="A16" s="70" t="inlineStr">
        <is>
          <t>De R$ 80 a R$ 99,99</t>
        </is>
      </c>
      <c r="B16" s="71" t="n">
        <v>0.14</v>
      </c>
      <c r="C16" s="73" t="n">
        <v>16</v>
      </c>
      <c r="D16" s="70" t="inlineStr">
        <is>
          <t>A comissão cai, mas a taxa fixa sobe muito.</t>
        </is>
      </c>
    </row>
    <row r="17">
      <c r="A17" s="70" t="inlineStr">
        <is>
          <t>De R$ 100 a R$ 199,99</t>
        </is>
      </c>
      <c r="B17" s="71" t="n">
        <v>0.14</v>
      </c>
      <c r="C17" s="73" t="n">
        <v>20</v>
      </c>
      <c r="D17" s="70" t="inlineStr">
        <is>
          <t>Faixa recomendada para o kit de 3 peças.</t>
        </is>
      </c>
    </row>
    <row r="18">
      <c r="A18" s="70" t="inlineStr">
        <is>
          <t>R$ 200 ou mais</t>
        </is>
      </c>
      <c r="B18" s="71" t="n">
        <v>0.14</v>
      </c>
      <c r="C18" s="73" t="n">
        <v>26</v>
      </c>
      <c r="D18" s="70" t="inlineStr">
        <is>
          <t>—</t>
        </is>
      </c>
    </row>
    <row r="19">
      <c r="A19" s="72" t="inlineStr">
        <is>
          <t>O teto de comissão de R$ 100 por item foi extinto e a taxa fixa subiu até 550%. O Programa de Frete Grátis deixou de ser opcional. Campanha de destaque adiciona 2,5%. Vendedor pessoa física com mais de 450 pedidos em 90 dias paga R$ 3 adicionais por item.</t>
        </is>
      </c>
    </row>
    <row r="21">
      <c r="A21" s="3" t="inlineStr">
        <is>
          <t>TIKTOK SHOP — TABELA DE 15 DE JULHO DE 2026</t>
        </is>
      </c>
      <c r="B21" s="3" t="n"/>
      <c r="C21" s="3" t="n"/>
      <c r="D21" s="3" t="n"/>
    </row>
    <row r="22">
      <c r="A22" s="69" t="inlineStr">
        <is>
          <t>Faixa de preço</t>
        </is>
      </c>
      <c r="B22" s="69" t="inlineStr">
        <is>
          <t>Comissão</t>
        </is>
      </c>
      <c r="C22" s="69" t="inlineStr">
        <is>
          <t>Taxa fixa por item</t>
        </is>
      </c>
      <c r="D22" s="69" t="inlineStr">
        <is>
          <t>Observação</t>
        </is>
      </c>
    </row>
    <row r="23">
      <c r="A23" s="70" t="inlineStr">
        <is>
          <t>Abaixo de R$ 50</t>
        </is>
      </c>
      <c r="B23" s="71" t="n">
        <v>0.1</v>
      </c>
      <c r="C23" s="73" t="n">
        <v>0</v>
      </c>
      <c r="D23" s="70" t="inlineStr">
        <is>
          <t>A comissão subiu de 6% para 10% nesta faixa.</t>
        </is>
      </c>
    </row>
    <row r="24">
      <c r="A24" s="70" t="inlineStr">
        <is>
          <t>R$ 50 ou mais</t>
        </is>
      </c>
      <c r="B24" s="71" t="n">
        <v>0.06</v>
      </c>
      <c r="C24" s="73" t="n">
        <v>6</v>
      </c>
      <c r="D24" s="70" t="inlineStr">
        <is>
          <t>A taxa fixa subiu de R$ 4 para R$ 6.</t>
        </is>
      </c>
    </row>
    <row r="25">
      <c r="A25" s="70" t="inlineStr">
        <is>
          <t>Programa de frete grátis</t>
        </is>
      </c>
      <c r="B25" s="71" t="n">
        <v>0.06</v>
      </c>
      <c r="C25" s="70" t="inlineStr">
        <is>
          <t>—</t>
        </is>
      </c>
      <c r="D25" s="70" t="inlineStr">
        <is>
          <t>Sobre o valor do produto. Não foi alterado na revisão.</t>
        </is>
      </c>
    </row>
    <row r="26">
      <c r="A26" s="70" t="inlineStr">
        <is>
          <t>Comissão de afiliado</t>
        </is>
      </c>
      <c r="B26" s="70" t="inlineStr">
        <is>
          <t>10% a 20%</t>
        </is>
      </c>
      <c r="C26" s="70" t="inlineStr">
        <is>
          <t>—</t>
        </is>
      </c>
      <c r="D26" s="70" t="inlineStr">
        <is>
          <t>Definida por SKU pelo vendedor. Em roupas e acessórios a prática fica entre 10% e 20%; a faixa geral do mercado vai de 5% a 30%.</t>
        </is>
      </c>
    </row>
    <row r="27">
      <c r="A27" s="72" t="inlineStr">
        <is>
          <t>Menor taxa de plataforma das três, mas a demanda não vem incluída: a comissão de afiliado é, na prática, um custo de mídia.</t>
        </is>
      </c>
    </row>
    <row r="29">
      <c r="A29" s="3" t="inlineStr">
        <is>
          <t>SIMPLES NACIONAL 2026 — ALÍQUOTAS NOMINAIS</t>
        </is>
      </c>
      <c r="B29" s="3" t="n"/>
      <c r="C29" s="3" t="n"/>
      <c r="D29" s="3" t="n"/>
    </row>
    <row r="30">
      <c r="A30" s="69" t="inlineStr">
        <is>
          <t>Receita bruta em 12 meses</t>
        </is>
      </c>
      <c r="B30" s="69" t="inlineStr">
        <is>
          <t>Anexo I · Comércio</t>
        </is>
      </c>
      <c r="C30" s="69" t="inlineStr">
        <is>
          <t>Anexo II · Indústria</t>
        </is>
      </c>
      <c r="D30" s="69" t="inlineStr">
        <is>
          <t>Observação</t>
        </is>
      </c>
    </row>
    <row r="31">
      <c r="A31" s="70" t="inlineStr">
        <is>
          <t>Até R$ 180.000</t>
        </is>
      </c>
      <c r="B31" s="71" t="n">
        <v>0.04</v>
      </c>
      <c r="C31" s="71" t="n">
        <v>0.045</v>
      </c>
      <c r="D31" s="70" t="inlineStr">
        <is>
          <t>Primeira faixa.</t>
        </is>
      </c>
    </row>
    <row r="32">
      <c r="A32" s="70" t="inlineStr">
        <is>
          <t>De R$ 180.000 a R$ 360.000</t>
        </is>
      </c>
      <c r="B32" s="71" t="n">
        <v>0.073</v>
      </c>
      <c r="C32" s="71" t="n">
        <v>0.078</v>
      </c>
      <c r="D32" s="70" t="inlineStr">
        <is>
          <t>Parcela a deduzir: R$ 5.940.</t>
        </is>
      </c>
    </row>
    <row r="33">
      <c r="A33" s="70" t="inlineStr">
        <is>
          <t>De R$ 360.000 a R$ 720.000</t>
        </is>
      </c>
      <c r="B33" s="71" t="n">
        <v>0.095</v>
      </c>
      <c r="C33" s="71" t="n">
        <v>0.1</v>
      </c>
      <c r="D33" s="70" t="inlineStr">
        <is>
          <t>Parcela a deduzir: R$ 13.860.</t>
        </is>
      </c>
    </row>
    <row r="34">
      <c r="A34" s="70" t="inlineStr">
        <is>
          <t>De R$ 720.000 a R$ 1.800.000</t>
        </is>
      </c>
      <c r="B34" s="71" t="n">
        <v>0.107</v>
      </c>
      <c r="C34" s="71" t="n">
        <v>0.112</v>
      </c>
      <c r="D34" s="70" t="inlineStr">
        <is>
          <t>Parcela a deduzir: R$ 22.500.</t>
        </is>
      </c>
    </row>
    <row r="35">
      <c r="A35" s="70" t="inlineStr">
        <is>
          <t>De R$ 1.800.000 a R$ 3.600.000</t>
        </is>
      </c>
      <c r="B35" s="71" t="n">
        <v>0.143</v>
      </c>
      <c r="C35" s="71" t="n">
        <v>0.147</v>
      </c>
      <c r="D35" s="70" t="inlineStr">
        <is>
          <t>Anexo I: deduzir R$ 87.300. Anexo II: R$ 85.500.</t>
        </is>
      </c>
    </row>
    <row r="36">
      <c r="A36" s="70" t="inlineStr">
        <is>
          <t>De R$ 3.600.000 a R$ 4.800.000</t>
        </is>
      </c>
      <c r="B36" s="71" t="n">
        <v>0.19</v>
      </c>
      <c r="C36" s="71" t="n">
        <v>0.3</v>
      </c>
      <c r="D36" s="70" t="inlineStr">
        <is>
          <t>Anexo I: deduzir R$ 378.000. Anexo II: R$ 720.000.</t>
        </is>
      </c>
    </row>
    <row r="37">
      <c r="A37" s="72" t="inlineStr">
        <is>
          <t>Alíquota efetiva = [(RBT12 × alíquota nominal) − parcela a deduzir] ÷ RBT12, sempre menor que a nominal a partir da 2ª faixa. 2026 é ano de teste da Reforma Tributária (CBS a 0,9% e IBS a 0,1%) sem efeito no cálculo do DAS. Entre 1º e 30 de setembro de 2026 abre a janela para optar por recolher IBS e CBS fora do DAS no primeiro semestre de 2027.</t>
        </is>
      </c>
    </row>
    <row r="39">
      <c r="A39" s="3" t="inlineStr">
        <is>
          <t>MÍDIA — REFERÊNCIAS DE 2026</t>
        </is>
      </c>
      <c r="B39" s="3" t="n"/>
      <c r="C39" s="3" t="n"/>
      <c r="D39" s="3" t="n"/>
    </row>
    <row r="40">
      <c r="A40" s="69" t="inlineStr">
        <is>
          <t>Indicador</t>
        </is>
      </c>
      <c r="B40" s="69" t="inlineStr">
        <is>
          <t>Faixa</t>
        </is>
      </c>
      <c r="C40" s="69" t="inlineStr">
        <is>
          <t>Fonte</t>
        </is>
      </c>
      <c r="D40" s="69" t="inlineStr">
        <is>
          <t>Observação</t>
        </is>
      </c>
    </row>
    <row r="41">
      <c r="A41" s="70" t="inlineStr">
        <is>
          <t>CPM Meta — Feed</t>
        </is>
      </c>
      <c r="B41" s="70" t="inlineStr">
        <is>
          <t>R$ 15 a R$ 35</t>
        </is>
      </c>
      <c r="C41" s="70" t="inlineStr">
        <is>
          <t>Benchmarks Brasil 2026</t>
        </is>
      </c>
      <c r="D41" s="70" t="inlineStr">
        <is>
          <t>—</t>
        </is>
      </c>
    </row>
    <row r="42">
      <c r="A42" s="70" t="inlineStr">
        <is>
          <t>CPM Meta — Stories e Reels</t>
        </is>
      </c>
      <c r="B42" s="70" t="inlineStr">
        <is>
          <t>R$ 8 a R$ 20</t>
        </is>
      </c>
      <c r="C42" s="70" t="inlineStr">
        <is>
          <t>Benchmarks Brasil 2026</t>
        </is>
      </c>
      <c r="D42" s="70" t="inlineStr">
        <is>
          <t>Mais barato, exige criativo em vídeo.</t>
        </is>
      </c>
    </row>
    <row r="43">
      <c r="A43" s="70" t="inlineStr">
        <is>
          <t>CPC Google — moda</t>
        </is>
      </c>
      <c r="B43" s="70" t="inlineStr">
        <is>
          <t>R$ 1,50 a R$ 4,00</t>
        </is>
      </c>
      <c r="C43" s="70" t="inlineStr">
        <is>
          <t>Benchmarks Brasil 2026</t>
        </is>
      </c>
      <c r="D43" s="70" t="inlineStr">
        <is>
          <t>A média geral da Rede de Pesquisa gira em torno de R$ 2,50.</t>
        </is>
      </c>
    </row>
    <row r="44">
      <c r="A44" s="70" t="inlineStr">
        <is>
          <t>ROAS mediano — e-commerce</t>
        </is>
      </c>
      <c r="B44" s="70" t="inlineStr">
        <is>
          <t>1,93x</t>
        </is>
      </c>
      <c r="C44" s="70" t="inlineStr">
        <is>
          <t>Benchmarks por indústria</t>
        </is>
      </c>
      <c r="D44" s="70" t="inlineStr">
        <is>
          <t>Mediana de mercado em Meta Ads.</t>
        </is>
      </c>
    </row>
    <row r="45">
      <c r="A45" s="70" t="inlineStr">
        <is>
          <t>Aumento de custo do Meta Ads</t>
        </is>
      </c>
      <c r="B45" s="70" t="inlineStr">
        <is>
          <t>12,15%</t>
        </is>
      </c>
      <c r="C45" s="70" t="inlineStr">
        <is>
          <t>Repasse de 01/01/2026</t>
        </is>
      </c>
      <c r="D45" s="70" t="inlineStr">
        <is>
          <t>PIS/Cofins de 9,25% e ISS de 2,9%. R$ 1.000 de verba passou a custar R$ 1.121,50.</t>
        </is>
      </c>
    </row>
    <row r="46">
      <c r="A46" s="70" t="inlineStr">
        <is>
          <t>Devolução em moda online</t>
        </is>
      </c>
      <c r="B46" s="70" t="inlineStr">
        <is>
          <t>30% a 40%</t>
        </is>
      </c>
      <c r="C46" s="70" t="inlineStr">
        <is>
          <t>E-commerce Brasil 2026</t>
        </is>
      </c>
      <c r="D46" s="70" t="inlineStr">
        <is>
          <t>Tamanho errado responde por mais da metade dos casos.</t>
        </is>
      </c>
    </row>
    <row r="47">
      <c r="A47" s="70" t="inlineStr">
        <is>
          <t>Recompra sem retenção</t>
        </is>
      </c>
      <c r="B47" s="70" t="inlineStr">
        <is>
          <t>15% a 25%</t>
        </is>
      </c>
      <c r="C47" s="70" t="inlineStr">
        <is>
          <t>Benchmarks de varejo</t>
        </is>
      </c>
      <c r="D47" s="70" t="inlineStr">
        <is>
          <t>Com fidelidade e fluxo de e-mail: 35% a 50%.</t>
        </is>
      </c>
    </row>
  </sheetData>
  <mergeCells count="4">
    <mergeCell ref="A10:D10"/>
    <mergeCell ref="A37:D37"/>
    <mergeCell ref="A27:D27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2026-08-24T16:32:45Z</dcterms:created>
  <dcterms:modified xsi:type="dcterms:W3CDTF">2026-08-24T16:32:45Z</dcterms:modified>
</cp:coreProperties>
</file>