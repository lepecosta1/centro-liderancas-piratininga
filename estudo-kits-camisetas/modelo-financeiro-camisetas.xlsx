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" sheetId="2" state="visible" r:id="rId4"/>
    <sheet name="Ficha de Custo" sheetId="3" state="visible" r:id="rId5"/>
    <sheet name="Frete 2026" sheetId="4" state="visible" r:id="rId6"/>
    <sheet name="Calculadora" sheetId="5" state="visible" r:id="rId7"/>
    <sheet name="Kits 1-3-5-10" sheetId="6" state="visible" r:id="rId8"/>
    <sheet name="Kits calculo" sheetId="7" state="visible" r:id="rId9"/>
    <sheet name="Tabela de Precos" sheetId="8" state="visible" r:id="rId10"/>
    <sheet name="Benchmark" sheetId="9" state="visible" r:id="rId11"/>
    <sheet name="Cores" sheetId="10" state="visible" r:id="rId12"/>
    <sheet name="Grade de Medidas" sheetId="11" state="visible" r:id="rId13"/>
    <sheet name="Cenarios" sheetId="12" state="visible" r:id="rId14"/>
    <sheet name="Sensibilidade" sheetId="13" state="visible" r:id="rId15"/>
    <sheet name="Projecao" sheetId="14" state="visible" r:id="rId16"/>
    <sheet name="Midia" sheetId="15" state="visible" r:id="rId17"/>
    <sheet name="Taxas 2026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<sst xmlns="http://schemas.openxmlformats.org/spreadsheetml/2006/main" count="1044" uniqueCount="772">
  <si>
    <t xml:space="preserve">ESTUDO DE VIABILIDADE — KITS DE CAMISETAS BÁSICAS EM MARKETPLACES</t>
  </si>
  <si>
    <t xml:space="preserve">Modelo financeiro · Roberto Monte Fusco · Revisão 02 · Edição Blumenau · outubro de 2026</t>
  </si>
  <si>
    <t xml:space="preserve">COMO USAR</t>
  </si>
  <si>
    <t xml:space="preserve">Passo 1</t>
  </si>
  <si>
    <t xml:space="preserve">Na aba "Ficha de Custo", troque os números AZUIS pelos custos reais da fábrica (malha, facção, aviamentos, embalagem). Todo o resto recalcula.</t>
  </si>
  <si>
    <t xml:space="preserve">Passo 2</t>
  </si>
  <si>
    <t xml:space="preserve">Na aba "Premissas", escolha a linha e o tamanho do kit (listas nas células amarelas) e o preço. A "Calculadora" mostra a margem nos quatro canais.</t>
  </si>
  <si>
    <t xml:space="preserve">Passo 3</t>
  </si>
  <si>
    <t xml:space="preserve">A aba "Kits 1-3-5-10" mostra, para as 12 combinações de linha e kit, o menor preço com 15% de margem em cada canal e o preço de prateleira sugerido. A conta completa está em "Kits calculo".</t>
  </si>
  <si>
    <t xml:space="preserve">Passo 4</t>
  </si>
  <si>
    <t xml:space="preserve">A aba "Tabela de Precos" traz os preços de lançamento propostos; troque um preço e veja a margem de cada canal. "Projecao" projeta 12 meses do kit 3.</t>
  </si>
  <si>
    <t xml:space="preserve">Passo 5</t>
  </si>
  <si>
    <t xml:space="preserve">"Benchmark" guarda os 34 preços reais de setembro de 2026 e o Top 10. "Cores" e "Grade de Medidas" calculam o lote de lançamento por cor e tamanho.</t>
  </si>
  <si>
    <t xml:space="preserve">LEGENDA DE CORES</t>
  </si>
  <si>
    <t xml:space="preserve">Azul</t>
  </si>
  <si>
    <t xml:space="preserve">Você edita. É um dado de entrada ou uma premissa.</t>
  </si>
  <si>
    <t xml:space="preserve">Preto</t>
  </si>
  <si>
    <t xml:space="preserve">Fórmula. Não edite: o modelo se quebra.</t>
  </si>
  <si>
    <t xml:space="preserve">Verde</t>
  </si>
  <si>
    <t xml:space="preserve">Referência a outra aba desta planilha.</t>
  </si>
  <si>
    <t xml:space="preserve">Fundo amarelo</t>
  </si>
  <si>
    <t xml:space="preserve">Premissa crítica: um erro aqui distorce todo o resultado.</t>
  </si>
  <si>
    <t xml:space="preserve">Fundo verde-claro</t>
  </si>
  <si>
    <t xml:space="preserve">Na aba "Frete 2026": valor publicado pelo Mercado Livre. As demais células da tabela são interpolação.</t>
  </si>
  <si>
    <t xml:space="preserve">O QUE ESTE MODELO RESPONDE</t>
  </si>
  <si>
    <t xml:space="preserve">Margem de contribuição</t>
  </si>
  <si>
    <t xml:space="preserve">O que sobra de cada kit depois de CMV (peças + embalagem do kit), comissão, taxa fixa, frete, mídia, imposto e provisão de devolução, antes dos custos fixos.</t>
  </si>
  <si>
    <t xml:space="preserve">Piso de 15%</t>
  </si>
  <si>
    <t xml:space="preserve">O menor preço, em cada canal, que ainda deixa a margem mínima definida em Premissas!B18, respeitando as faixas de preço de cada plataforma.</t>
  </si>
  <si>
    <t xml:space="preserve">Preço sugerido</t>
  </si>
  <si>
    <t xml:space="preserve">O próximo preço terminado em 4,90 ou 9,90 acima do piso que mantém a margem mínima.</t>
  </si>
  <si>
    <t xml:space="preserve">Custo-alvo</t>
  </si>
  <si>
    <t xml:space="preserve">Até quanto a peça pode custar para cada kit empatar com o concorrente de referência e ainda deixar 15%.</t>
  </si>
  <si>
    <t xml:space="preserve">Lote de lançamento</t>
  </si>
  <si>
    <t xml:space="preserve">1.200 kits de 3 distribuídos por cor e tamanho, a partir da composição dos kits e da grade de produção.</t>
  </si>
  <si>
    <t xml:space="preserve">Equilíbrio e ROAS</t>
  </si>
  <si>
    <t xml:space="preserve">Kits por mês para cobrir o custo fixo e o retorno mínimo de mídia para a loja própria não dar prejuízo.</t>
  </si>
  <si>
    <t xml:space="preserve">O QUE ELE NÃO RESPONDE</t>
  </si>
  <si>
    <t xml:space="preserve">Não é consultoria fiscal</t>
  </si>
  <si>
    <t xml:space="preserve">As alíquotas do Simples Nacional são as tabelas públicas de 2026. O enquadramento do CNAE e a decisão sobre IBS e CBS (prazo de cancelamento em 30/11/2026) são do contador.</t>
  </si>
  <si>
    <t xml:space="preserve">Não prevê demanda</t>
  </si>
  <si>
    <t xml:space="preserve">Os volumes da aba Projecao são premissas de rampa típica, não previsão. Substitua por dados de Nubimetrics e Kalodata.</t>
  </si>
  <si>
    <t xml:space="preserve">Custos de fabricação</t>
  </si>
  <si>
    <t xml:space="preserve">A Ficha de Custo traz estimativas de mercado calibradas por consumo de malha e preços de atacado de 2026. Não são os custos da fábrica.</t>
  </si>
  <si>
    <t xml:space="preserve">Frete do Mercado Livre</t>
  </si>
  <si>
    <t xml:space="preserve">Cinco valores da tabela de reputação verde são publicados; os demais foram interpolados. Confira no simulador de custos do painel do vendedor.</t>
  </si>
  <si>
    <t xml:space="preserve">O QUE MUDOU DA REV. 01 (AGOSTO) PARA A REV. 02 (OUTUBRO)</t>
  </si>
  <si>
    <t xml:space="preserve">• Kits de 1, 3, 5 e 10 peças nas três linhas, com piso de 15% e preço sugerido em cada canal (abas Kits 1-3-5-10 e Kits calculo).</t>
  </si>
  <si>
    <t xml:space="preserve">• Embalagem separada: a peça leva só a embalagem individual; cada kit tem sua embalagem de envio e seu peso. Custo da Essencial: R$ 22,06 → R$ 20,52 por peça + embalagem do kit.</t>
  </si>
  <si>
    <t xml:space="preserve">• Frete do Mercado Livre pela tabela de reputação verde de 2026, por peso do pacote e faixa de preço (aba Frete 2026), no lugar de R$ 19 fixos.</t>
  </si>
  <si>
    <t xml:space="preserve">• Novas abas: Tabela de Precos, Benchmark (34 preços reais e Top 10), Cores (lote por cor e tamanho) e Grade de Medidas.</t>
  </si>
  <si>
    <t xml:space="preserve">• Preços terminados em ,90: o kit 3 passa de R$ 169 para R$ 169,90. Projeção e investimento recalculados.</t>
  </si>
  <si>
    <t xml:space="preserve">PREMISSAS DO MODELO</t>
  </si>
  <si>
    <t xml:space="preserve">Edite apenas as células AZUIS. As amarelas são as que mais mexem no resultado. Ao abrir: Kit 3 da linha Essencial a R$ 169,90.</t>
  </si>
  <si>
    <t xml:space="preserve">PRODUTO — KIT EM SIMULAÇÃO NA CALCULADORA</t>
  </si>
  <si>
    <t xml:space="preserve">Linha de produto</t>
  </si>
  <si>
    <t xml:space="preserve">Essencial</t>
  </si>
  <si>
    <t xml:space="preserve">Escolha na lista: Popular, Essencial ou Fibra Longa. Custo, embalagem e peso vêm da Ficha de Custo.</t>
  </si>
  <si>
    <t xml:space="preserve">Peças por kit</t>
  </si>
  <si>
    <t xml:space="preserve">Escolha na lista: 1, 3, 5 ou 10.</t>
  </si>
  <si>
    <t xml:space="preserve">Índice da linha (1 a 3)</t>
  </si>
  <si>
    <t xml:space="preserve">Custo real por peça (opcional)</t>
  </si>
  <si>
    <t xml:space="preserve">Deixe em branco para usar a Ficha de Custo. Preencha com o custo real da fábrica para simular.</t>
  </si>
  <si>
    <t xml:space="preserve">Custo por peça aplicado</t>
  </si>
  <si>
    <t xml:space="preserve">Embalagem do kit (R$ por pedido)</t>
  </si>
  <si>
    <t xml:space="preserve">Para kits fora de 1, 3, 5 e 10, usa a embalagem do tamanho padrão imediatamente menor.</t>
  </si>
  <si>
    <t xml:space="preserve">Peso da peça (kg)</t>
  </si>
  <si>
    <t xml:space="preserve">Peso da embalagem do kit (kg)</t>
  </si>
  <si>
    <t xml:space="preserve">Peso do pacote (kg)</t>
  </si>
  <si>
    <t xml:space="preserve">Faixa de peso (1 = até 0,3 kg … 6 = 2 a 3 kg)</t>
  </si>
  <si>
    <t xml:space="preserve">Preço de venda do kit</t>
  </si>
  <si>
    <t xml:space="preserve">Preço ao consumidor, o mesmo nos quatro canais. Para a tabela por canal, use a aba Tabela de Precos.</t>
  </si>
  <si>
    <t xml:space="preserve">CMV do kit</t>
  </si>
  <si>
    <t xml:space="preserve">Peças × custo por peça + embalagem do kit.</t>
  </si>
  <si>
    <t xml:space="preserve">Preço por peça ao consumidor</t>
  </si>
  <si>
    <t xml:space="preserve">Referências de setembro de 2026: Hering Camiseta Brasil R$ 49,99; Malwee kit 3 R$ 52,33 por peça; Zaroc kit 5 R$ 24,60 por peça.</t>
  </si>
  <si>
    <t xml:space="preserve">Margem de contribuição mínima exigida</t>
  </si>
  <si>
    <t xml:space="preserve">Abaixo de 15% em moda a operação não sustenta estrutura própria.</t>
  </si>
  <si>
    <t xml:space="preserve">COMUM A TODOS OS CANAIS</t>
  </si>
  <si>
    <t xml:space="preserve">Simples Nacional — alíquota efetiva</t>
  </si>
  <si>
    <t xml:space="preserve">Anexo II (Indústria), 1ª faixa, até R$ 180 mil de receita em 12 meses. Anexo I (Comércio) = 4,0%. Validar com o contador.</t>
  </si>
  <si>
    <t xml:space="preserve">Provisão de devolução</t>
  </si>
  <si>
    <t xml:space="preserve">Perda líquida com devolução (frete reverso e peça de 2ª). Devolução em moda online: 30% a 40% dos pedidos, mais da metade por tamanho.</t>
  </si>
  <si>
    <t xml:space="preserve">Custo fixo mensal da operação</t>
  </si>
  <si>
    <t xml:space="preserve">Equipe, sistemas, contabilidade, conteúdo. Não inclui pró-labore.</t>
  </si>
  <si>
    <t xml:space="preserve">MERCADO LIVRE</t>
  </si>
  <si>
    <t xml:space="preserve">Comissão — categoria Moda</t>
  </si>
  <si>
    <t xml:space="preserve">Clássico = 14%. Premium = 19% (12x sem juros e mais exposição).</t>
  </si>
  <si>
    <t xml:space="preserve">ACOS — Product Ads</t>
  </si>
  <si>
    <t xml:space="preserve">Percentual da receita gasto em mídia dentro do ML.</t>
  </si>
  <si>
    <t xml:space="preserve">Frete manual (opcional)</t>
  </si>
  <si>
    <t xml:space="preserve">Em branco = tabela da aba Frete 2026 pelo peso e pela faixa de preço. Preencha com o valor do seu painel.</t>
  </si>
  <si>
    <t xml:space="preserve">Frete aplicado (preço a partir de R$ 79)</t>
  </si>
  <si>
    <t xml:space="preserve">Custo logístico manual (opcional)</t>
  </si>
  <si>
    <t xml:space="preserve">Em branco = coluna B da aba Frete 2026.</t>
  </si>
  <si>
    <t xml:space="preserve">Custo logístico aplicado (preço abaixo de R$ 79)</t>
  </si>
  <si>
    <t xml:space="preserve">SHOPEE</t>
  </si>
  <si>
    <t xml:space="preserve">Frete pago pelo vendedor</t>
  </si>
  <si>
    <t xml:space="preserve">Zero no fluxo padrão: desde março de 2026 o Programa de Frete Grátis é obrigatório e está embutido na comissão. Use para a diferença acima do subsídio em pacotes pesados.</t>
  </si>
  <si>
    <t xml:space="preserve">ACOS — Shopee Ads</t>
  </si>
  <si>
    <t xml:space="preserve">Campanha de destaque — adicional</t>
  </si>
  <si>
    <t xml:space="preserve">Use 2,50% se participar de campanha de destaque; 0% caso contrário.</t>
  </si>
  <si>
    <t xml:space="preserve">TIKTOK SHOP</t>
  </si>
  <si>
    <t xml:space="preserve">Programa de frete grátis</t>
  </si>
  <si>
    <t xml:space="preserve">6% sobre o valor do produto. Inalterado na revisão de 15/07/2026.</t>
  </si>
  <si>
    <t xml:space="preserve">Comissão de afiliado</t>
  </si>
  <si>
    <t xml:space="preserve">Definida por SKU. Em roupas a prática é de 10% a 20%.</t>
  </si>
  <si>
    <t xml:space="preserve">ACOS — anúncios</t>
  </si>
  <si>
    <t xml:space="preserve">LOJA PRÓPRIA</t>
  </si>
  <si>
    <t xml:space="preserve">Gateway de pagamento</t>
  </si>
  <si>
    <t xml:space="preserve">Crédito à vista. Débito costuma ficar perto de 3,99% e parcelado perto de 5,99%.</t>
  </si>
  <si>
    <t xml:space="preserve">Gateway — taxa fixa por pedido</t>
  </si>
  <si>
    <t xml:space="preserve">Em branco = coluna H da aba Frete 2026 pelo peso do pacote.</t>
  </si>
  <si>
    <t xml:space="preserve">Frete aplicado</t>
  </si>
  <si>
    <t xml:space="preserve">Plataforma e apps por pedido</t>
  </si>
  <si>
    <t xml:space="preserve">Mensalidade da plataforma e dos apps rateada pelo volume. Ex.: R$ 314 por mês ÷ 200 pedidos.</t>
  </si>
  <si>
    <t xml:space="preserve">ROAS da mídia</t>
  </si>
  <si>
    <t xml:space="preserve">Receita ÷ verba. A mediana de e-commerce em Meta Ads é 1,93×.</t>
  </si>
  <si>
    <t xml:space="preserve">FICHA TÉCNICA DE CUSTO — TRÊS LINHAS DE PRODUTO</t>
  </si>
  <si>
    <t xml:space="preserve">Estimativas de mercado calibradas por consumo de malha e preços de atacado de 2026. SUBSTITUA os números azuis pelos da fábrica.</t>
  </si>
  <si>
    <t xml:space="preserve">Componente</t>
  </si>
  <si>
    <t xml:space="preserve">Popular</t>
  </si>
  <si>
    <t xml:space="preserve">Fibra Longa</t>
  </si>
  <si>
    <t xml:space="preserve">Observação</t>
  </si>
  <si>
    <t xml:space="preserve">Composição</t>
  </si>
  <si>
    <t xml:space="preserve">PV 67/33 ou cardado · 140 g/m²</t>
  </si>
  <si>
    <t xml:space="preserve">100% algodão penteado 30.1 · 180 g/m²</t>
  </si>
  <si>
    <t xml:space="preserve">Pima ou egípcio com laudo · 165 g/m²</t>
  </si>
  <si>
    <t xml:space="preserve">Consumo de malha (kg por peça)</t>
  </si>
  <si>
    <t xml:space="preserve">Peso da peça acabada mais cerca de 10% de perda de encaixe, na média dos tamanhos M e G. A grade real consome 2,5% a mais (aba Grade de Medidas).</t>
  </si>
  <si>
    <t xml:space="preserve">Preço da malha (R$ por kg)</t>
  </si>
  <si>
    <t xml:space="preserve">Atacado 2026 (Itajaí e Brusque/SC, Goiânia/GO, Fortaleza/CE). É a variável de maior impacto no custo: confirme com o fornecedor.</t>
  </si>
  <si>
    <t xml:space="preserve">Malha</t>
  </si>
  <si>
    <t xml:space="preserve">Consumo × preço por quilo.</t>
  </si>
  <si>
    <t xml:space="preserve">Gola, ribana e aviamentos</t>
  </si>
  <si>
    <t xml:space="preserve">Na Essencial inclui etiqueta tecida.</t>
  </si>
  <si>
    <t xml:space="preserve">Facção · corte, costura e acabamento</t>
  </si>
  <si>
    <t xml:space="preserve">Se a fábrica tem capacidade ociosa, o custo marginal real é menor. É a pergunta que decide os kits de 5 e 10.</t>
  </si>
  <si>
    <t xml:space="preserve">Embalagem individual</t>
  </si>
  <si>
    <t xml:space="preserve">Saco e tag (Popular); saco, tag e selo de gramatura (Essencial); papel de seda e tag (Fibra Longa). A embalagem do kit fica no pedido, abaixo.</t>
  </si>
  <si>
    <t xml:space="preserve">Perdas e 2ª qualidade (%)</t>
  </si>
  <si>
    <t xml:space="preserve">Aplicado sobre a soma dos componentes.</t>
  </si>
  <si>
    <t xml:space="preserve">Perdas e 2ª qualidade (R$)</t>
  </si>
  <si>
    <t xml:space="preserve">CUSTO TOTAL POR PEÇA</t>
  </si>
  <si>
    <t xml:space="preserve">Arredondado ao centavo: é o valor usado em todo o modelo e na página.</t>
  </si>
  <si>
    <t xml:space="preserve">Peso da peça acabada (kg)</t>
  </si>
  <si>
    <t xml:space="preserve">Define a faixa de frete do pacote.</t>
  </si>
  <si>
    <t xml:space="preserve">EMBALAGEM DO KIT (R$ POR PEDIDO)</t>
  </si>
  <si>
    <t xml:space="preserve">Envelope plástico (Popular) · envelope na avulsa e caixa de papelão com cinta nos kits (Essencial) · caixa rígida (Fibra Longa).</t>
  </si>
  <si>
    <t xml:space="preserve">PESO DA EMBALAGEM DO KIT (KG) — IGUAL PARA AS TRÊS LINHAS</t>
  </si>
  <si>
    <t xml:space="preserve">CMV DO KIT (R$) = PEÇAS × CUSTO POR PEÇA + EMBALAGEM DO KIT</t>
  </si>
  <si>
    <t xml:space="preserve">PESO DO PACOTE (KG) = PEÇAS × PESO DA PEÇA + EMBALAGEM</t>
  </si>
  <si>
    <t xml:space="preserve">Capacidade ociosa: se a fábrica já roda com folga, o custo marginal da peça é próximo de malha + aviamentos + embalagem e a margem real sobe de 6 a 9 pontos. Se a fábrica está cheia, o custo de oportunidade é integral e esta ficha está certa.</t>
  </si>
  <si>
    <t xml:space="preserve">Rotulagem: no Brasil não há fiscalização efetiva do termo "algodão egípcio". Declarar composição que a peça não tem é publicidade enganosa (CDC) e motivo de remoção de anúncio. Use "algodão egípcio" só com laudo do fornecedor de malha.</t>
  </si>
  <si>
    <t xml:space="preserve">TABELAS DE FRETE 2026 — MERCADO LIVRE (REPUTAÇÃO VERDE) E LOJA PRÓPRIA</t>
  </si>
  <si>
    <t xml:space="preserve">R$ por pacote. Fundo verde-claro = valor publicado; demais = interpolação. Confira no simulador de custos do painel do vendedor.</t>
  </si>
  <si>
    <t xml:space="preserve">Peso a partir de (kg)</t>
  </si>
  <si>
    <t xml:space="preserve">ML · abaixo de R$ 79 · custo logístico</t>
  </si>
  <si>
    <t xml:space="preserve">ML · R$ 79–99,99</t>
  </si>
  <si>
    <t xml:space="preserve">ML · R$ 100–119,99</t>
  </si>
  <si>
    <t xml:space="preserve">ML · R$ 120–149,99</t>
  </si>
  <si>
    <t xml:space="preserve">ML · R$ 150–199,99</t>
  </si>
  <si>
    <t xml:space="preserve">ML · R$ 200+</t>
  </si>
  <si>
    <t xml:space="preserve">Loja própria · frete médio</t>
  </si>
  <si>
    <t xml:space="preserve">Faixa de peso</t>
  </si>
  <si>
    <t xml:space="preserve">Preço a partir de (R$) →</t>
  </si>
  <si>
    <t xml:space="preserve">até 0,3 kg</t>
  </si>
  <si>
    <t xml:space="preserve">0,3 a 0,5 kg</t>
  </si>
  <si>
    <t xml:space="preserve">0,5 a 1 kg</t>
  </si>
  <si>
    <t xml:space="preserve">1 a 1,5 kg</t>
  </si>
  <si>
    <t xml:space="preserve">1,5 a 2 kg</t>
  </si>
  <si>
    <t xml:space="preserve">2 a 3 kg</t>
  </si>
  <si>
    <t xml:space="preserve">Publicado (reputação verde): até 0,3 kg, R$ 12,35 entre R$ 79 e R$ 99,99 e R$ 20,95 a partir de R$ 200; 1 a 1,5 kg e 1,5 a 2 kg, R$ 24,65 a partir de R$ 200; 2 a 3 kg, R$ 21,05 para produto de R$ 120. Fontes: Agência X3, GoSmarter, Duoke (março a setembro de 2026). Reputação amarela paga cerca de 20% a mais e a vermelha, o dobro.</t>
  </si>
  <si>
    <t xml:space="preserve">Abaixo de R$ 79 o Mercado Livre banca o frete ao comprador e cobra do vendedor um custo operacional por peso (coluna B, estimado a partir dos mínimos publicados de R$ 5,65 a R$ 6,25). A partir de R$ 79 o frete grátis é obrigatório e o vendedor paga a tabela acima. A faixa de peso de um pacote é a primeira cujo limite superior é igual ou maior que o peso: 0,3 kg cai na primeira faixa.</t>
  </si>
  <si>
    <t xml:space="preserve">Loja própria: média nacional estimada para envio por Correios ou transportadora via intermediador de frete, por faixa de peso.</t>
  </si>
  <si>
    <t xml:space="preserve">CALCULADORA DE MARGEM POR PLATAFORMA</t>
  </si>
  <si>
    <t xml:space="preserve">Tudo aqui é fórmula e vem das abas Premissas e Frete 2026. Para simular, mude os números lá.</t>
  </si>
  <si>
    <t xml:space="preserve">Rubrica</t>
  </si>
  <si>
    <t xml:space="preserve">Mercado Livre</t>
  </si>
  <si>
    <t xml:space="preserve">Shopee</t>
  </si>
  <si>
    <t xml:space="preserve">TikTok Shop</t>
  </si>
  <si>
    <t xml:space="preserve">Loja própria</t>
  </si>
  <si>
    <t xml:space="preserve">Como é calculado</t>
  </si>
  <si>
    <t xml:space="preserve">Receita bruta (preço do kit)</t>
  </si>
  <si>
    <t xml:space="preserve">Premissas!B15: mesmo preço em todos os canais, para a comparação ser honesta.</t>
  </si>
  <si>
    <t xml:space="preserve">Comissão da plataforma (%)</t>
  </si>
  <si>
    <t xml:space="preserve">Shopee e TikTok Shop: faixa de preço das tabelas da aba Taxas 2026 (a Shopee soma a campanha de destaque).</t>
  </si>
  <si>
    <t xml:space="preserve">Comissão da plataforma (R$)</t>
  </si>
  <si>
    <t xml:space="preserve">Na loja própria inclui a taxa fixa do gateway por pedido.</t>
  </si>
  <si>
    <t xml:space="preserve">Taxa fixa por item (R$)</t>
  </si>
  <si>
    <t xml:space="preserve">ML: custo logístico por peso, só abaixo de R$ 79. Shopee e TikTok: taxa fixa da faixa. Loja: plataforma e apps por pedido.</t>
  </si>
  <si>
    <t xml:space="preserve">Frete (R$)</t>
  </si>
  <si>
    <t xml:space="preserve">ML: tabela verde de 2026 pelo peso do pacote e pela faixa de preço, a partir de R$ 79. TikTok: 6% do programa de frete grátis.</t>
  </si>
  <si>
    <t xml:space="preserve">Mídia e afiliados (R$)</t>
  </si>
  <si>
    <t xml:space="preserve">TikTok soma comissão de afiliado e ACOS. Na loja própria, a mídia é o preço dividido pelo ROAS.</t>
  </si>
  <si>
    <t xml:space="preserve">Imposto (R$)</t>
  </si>
  <si>
    <t xml:space="preserve">Provisão de devolução (R$)</t>
  </si>
  <si>
    <t xml:space="preserve">CMV — peças + embalagem do kit (R$)</t>
  </si>
  <si>
    <t xml:space="preserve">TOTAL DE CUSTOS</t>
  </si>
  <si>
    <t xml:space="preserve">Soma das linhas 7 a 13. A linha 6 é percentual e não entra na soma.</t>
  </si>
  <si>
    <t xml:space="preserve">MARGEM DE CONTRIBUIÇÃO (R$)</t>
  </si>
  <si>
    <t xml:space="preserve">MARGEM DE CONTRIBUIÇÃO (%)</t>
  </si>
  <si>
    <t xml:space="preserve">Veredito</t>
  </si>
  <si>
    <t xml:space="preserve">Ponto de equilíbrio (kits por mês)</t>
  </si>
  <si>
    <t xml:space="preserve">Custo fixo mensal ÷ margem por kit, se todo o volume viesse de um único canal.</t>
  </si>
  <si>
    <t xml:space="preserve">Margem antes de mídia (%)</t>
  </si>
  <si>
    <t xml:space="preserve">ROAS de equilíbrio (loja própria)</t>
  </si>
  <si>
    <t xml:space="preserve">Inverso da margem antes de mídia. Abaixo disso, cada venda na loja própria dá prejuízo.</t>
  </si>
  <si>
    <t xml:space="preserve">KITS DE 1, 3, 5 E 10 PEÇAS — PISO DE MARGEM E PREÇO SUGERIDO POR CANAL</t>
  </si>
  <si>
    <t xml:space="preserve">Piso = menor preço com a margem mínima de Premissas!B18. Sugerido = preço de prateleira terminado em 4,90 ou 9,90. Referências de mercado em azul: setembro de 2026.</t>
  </si>
  <si>
    <t xml:space="preserve">Linha</t>
  </si>
  <si>
    <t xml:space="preserve">Kit</t>
  </si>
  <si>
    <t xml:space="preserve">CMV</t>
  </si>
  <si>
    <t xml:space="preserve">Peso (kg)</t>
  </si>
  <si>
    <t xml:space="preserve">ML piso</t>
  </si>
  <si>
    <t xml:space="preserve">ML sugerido</t>
  </si>
  <si>
    <t xml:space="preserve">ML margem</t>
  </si>
  <si>
    <t xml:space="preserve">Shopee piso</t>
  </si>
  <si>
    <t xml:space="preserve">Shopee sugerido</t>
  </si>
  <si>
    <t xml:space="preserve">Shopee margem</t>
  </si>
  <si>
    <t xml:space="preserve">TikTok piso</t>
  </si>
  <si>
    <t xml:space="preserve">TikTok sugerido</t>
  </si>
  <si>
    <t xml:space="preserve">TikTok margem</t>
  </si>
  <si>
    <t xml:space="preserve">Loja piso</t>
  </si>
  <si>
    <t xml:space="preserve">Loja sugerido</t>
  </si>
  <si>
    <t xml:space="preserve">Loja margem</t>
  </si>
  <si>
    <t xml:space="preserve">Piso ML por peça</t>
  </si>
  <si>
    <t xml:space="preserve">Referência de mercado</t>
  </si>
  <si>
    <t xml:space="preserve">Preço da referência</t>
  </si>
  <si>
    <t xml:space="preserve">Piso ML vs. referência</t>
  </si>
  <si>
    <t xml:space="preserve">Referência só em loja própria?</t>
  </si>
  <si>
    <t xml:space="preserve">Old Rules avulsa (ML)</t>
  </si>
  <si>
    <t xml:space="preserve">Old Rules kit 3 lisa (ML)</t>
  </si>
  <si>
    <t xml:space="preserve">Zaroc kit 5 slim (ML)</t>
  </si>
  <si>
    <t xml:space="preserve">Old Rules kit 10 (ML)</t>
  </si>
  <si>
    <t xml:space="preserve">Hering Camiseta Brasil</t>
  </si>
  <si>
    <t xml:space="preserve">Malwee kit 3 (ML)</t>
  </si>
  <si>
    <t xml:space="preserve">Hering kit 5 (ML)</t>
  </si>
  <si>
    <t xml:space="preserve">Insider Tech T-shirt</t>
  </si>
  <si>
    <t xml:space="preserve">Minimal Club kit 4 → 3 peças</t>
  </si>
  <si>
    <t xml:space="preserve">Minimal Club kit 6 → 5 peças</t>
  </si>
  <si>
    <t xml:space="preserve">sim</t>
  </si>
  <si>
    <t xml:space="preserve">sem referência</t>
  </si>
  <si>
    <t xml:space="preserve">Veredito: COMPETE = piso abaixo do preço da referência; NO LIMITE = até 5% acima (vender ali significa aceitar menos de 15%); NÃO COMPETE = mais de 5% acima. Nos kits premium de 4 e 6 peças da Minimal Club o preço por peça foi aplicado ao tamanho do kit. Loja própria com mídia paga ao ROAS de Premissas!B49.</t>
  </si>
  <si>
    <t xml:space="preserve">CUSTO-ALVO — ATÉ QUANTO A PEÇA PODE CUSTAR PARA EMPATAR COM O CONCORRENTE E DEIXAR A MARGEM MÍNIMA NO ML</t>
  </si>
  <si>
    <t xml:space="preserve">Peças</t>
  </si>
  <si>
    <t xml:space="preserve">Referência</t>
  </si>
  <si>
    <t xml:space="preserve">Preço</t>
  </si>
  <si>
    <t xml:space="preserve">Linha usada</t>
  </si>
  <si>
    <t xml:space="preserve">Índice</t>
  </si>
  <si>
    <t xml:space="preserve">Embalagem</t>
  </si>
  <si>
    <t xml:space="preserve">Faixa</t>
  </si>
  <si>
    <t xml:space="preserve">Frete ou custo log.</t>
  </si>
  <si>
    <t xml:space="preserve">Custo-alvo por peça</t>
  </si>
  <si>
    <t xml:space="preserve">Custo da linha</t>
  </si>
  <si>
    <t xml:space="preserve">Folga (+) ou falta (−)</t>
  </si>
  <si>
    <t xml:space="preserve">Avulsa</t>
  </si>
  <si>
    <t xml:space="preserve">Kit 3</t>
  </si>
  <si>
    <t xml:space="preserve">Kit 5</t>
  </si>
  <si>
    <t xml:space="preserve">Kit 10</t>
  </si>
  <si>
    <t xml:space="preserve">MEMÓRIA DE CÁLCULO — PISO DE MARGEM E PREÇO SUGERIDO POR LINHA, KIT E CANAL</t>
  </si>
  <si>
    <t xml:space="preserve">Para cada canal, o piso é o menor preço que entrega a margem mínima em alguma faixa de preço da plataforma (colunas "cand."). Não edite: tudo vem de Premissas, Ficha de Custo, Frete 2026 e Taxas 2026.</t>
  </si>
  <si>
    <t xml:space="preserve">Margem mínima</t>
  </si>
  <si>
    <t xml:space="preserve">k ML</t>
  </si>
  <si>
    <t xml:space="preserve">k Shopee s/ comissão</t>
  </si>
  <si>
    <t xml:space="preserve">k TikTok s/ comissão</t>
  </si>
  <si>
    <t xml:space="preserve">k Loja com mídia</t>
  </si>
  <si>
    <t xml:space="preserve">k Loja sem mídia</t>
  </si>
  <si>
    <t xml:space="preserve">Custo/peça</t>
  </si>
  <si>
    <t xml:space="preserve">Emb. kit</t>
  </si>
  <si>
    <t xml:space="preserve">Faixa peso</t>
  </si>
  <si>
    <t xml:space="preserve">ML cand. &lt;79</t>
  </si>
  <si>
    <t xml:space="preserve">ML cand. 79–99</t>
  </si>
  <si>
    <t xml:space="preserve">ML cand. 100–119</t>
  </si>
  <si>
    <t xml:space="preserve">ML cand. 120–149</t>
  </si>
  <si>
    <t xml:space="preserve">ML cand. 150–199</t>
  </si>
  <si>
    <t xml:space="preserve">ML cand. 200+</t>
  </si>
  <si>
    <t xml:space="preserve">ML s0</t>
  </si>
  <si>
    <t xml:space="preserve">ML margem s0</t>
  </si>
  <si>
    <t xml:space="preserve">Shopee cand. 8–79</t>
  </si>
  <si>
    <t xml:space="preserve">Shopee cand. 80–99</t>
  </si>
  <si>
    <t xml:space="preserve">Shopee cand. 100–199</t>
  </si>
  <si>
    <t xml:space="preserve">Shopee cand. 200+</t>
  </si>
  <si>
    <t xml:space="preserve">Shopee s0</t>
  </si>
  <si>
    <t xml:space="preserve">Shopee margem s0</t>
  </si>
  <si>
    <t xml:space="preserve">TikTok cand. &lt;50</t>
  </si>
  <si>
    <t xml:space="preserve">TikTok cand. 50+</t>
  </si>
  <si>
    <t xml:space="preserve">TikTok s0</t>
  </si>
  <si>
    <t xml:space="preserve">TikTok margem s0</t>
  </si>
  <si>
    <t xml:space="preserve">Loja s0</t>
  </si>
  <si>
    <t xml:space="preserve">Loja margem s0</t>
  </si>
  <si>
    <t xml:space="preserve">Como o piso é calculado: em cada faixa de preço da plataforma o custo é uma reta, custo = parte fixa + k × preço. O preço que dá a margem mínima nessa faixa é parte fixa ÷ (1 − k − margem). Se ele cai dentro da faixa, vale; se cai abaixo, vale o início da faixa; se cai acima, a faixa é descartada. O piso é o menor valor válido. O sugerido arredonda para o próximo preço terminado em 4,90 ou 9,90 e sobe R$ 5 se o degrau de faixa derrubar a margem.</t>
  </si>
  <si>
    <t xml:space="preserve">TABELA DE LANÇAMENTO — NOVEMBRO DE 2026</t>
  </si>
  <si>
    <t xml:space="preserve">Preços em azul: troque para testar. Em branco = fora do canal. Loja própria sem mídia de aquisição (cliente que volta por e-mail, WhatsApp e cartão no pedido).</t>
  </si>
  <si>
    <t xml:space="preserve">Oferta</t>
  </si>
  <si>
    <t xml:space="preserve">Preço ML</t>
  </si>
  <si>
    <t xml:space="preserve">MC ML</t>
  </si>
  <si>
    <t xml:space="preserve">MC ML %</t>
  </si>
  <si>
    <t xml:space="preserve">Preço Shopee</t>
  </si>
  <si>
    <t xml:space="preserve">MC Shopee</t>
  </si>
  <si>
    <t xml:space="preserve">MC Shopee %</t>
  </si>
  <si>
    <t xml:space="preserve">Preço TikTok</t>
  </si>
  <si>
    <t xml:space="preserve">MC TikTok</t>
  </si>
  <si>
    <t xml:space="preserve">MC TikTok %</t>
  </si>
  <si>
    <t xml:space="preserve">Preço loja (recompra)</t>
  </si>
  <si>
    <t xml:space="preserve">MC loja</t>
  </si>
  <si>
    <t xml:space="preserve">MC loja %</t>
  </si>
  <si>
    <t xml:space="preserve">Avulsa Essencial</t>
  </si>
  <si>
    <t xml:space="preserve">Kit 3 Essencial</t>
  </si>
  <si>
    <t xml:space="preserve">Avulsa Fibra Longa</t>
  </si>
  <si>
    <t xml:space="preserve">Kit 3 Fibra Longa</t>
  </si>
  <si>
    <t xml:space="preserve">Kit 5 Reposição</t>
  </si>
  <si>
    <t xml:space="preserve">Kit 10 Reposição</t>
  </si>
  <si>
    <t xml:space="preserve">Células abaixo da margem mínima</t>
  </si>
  <si>
    <t xml:space="preserve">Os preços terminam em 4,90 ou 9,90. A avulsa fica abaixo de R$ 79 no ML (o ML banca o frete) e sobe para R$ 64,90 no TikTok, onde o preço carrega 15% de comissão ao afiliado. Os kits de 5 e 10 existem só na loja própria, como reposição para quem já comprou.</t>
  </si>
  <si>
    <t xml:space="preserve">BENCHMARK DE PREÇOS PRATICADOS — SETEMBRO DE 2026</t>
  </si>
  <si>
    <t xml:space="preserve">34 ofertas reais em lojas oficiais, marketplaces e comunidades de ofertas ("oferta registrada" = preço promocional publicado por usuários). R$ por peça = preço ÷ peças.</t>
  </si>
  <si>
    <t xml:space="preserve">Grupo</t>
  </si>
  <si>
    <t xml:space="preserve">Segmento</t>
  </si>
  <si>
    <t xml:space="preserve">Canal</t>
  </si>
  <si>
    <t xml:space="preserve">Especificação declarada</t>
  </si>
  <si>
    <t xml:space="preserve">Preço (R$)</t>
  </si>
  <si>
    <t xml:space="preserve">R$ por peça</t>
  </si>
  <si>
    <t xml:space="preserve">Sinal de escala</t>
  </si>
  <si>
    <t xml:space="preserve">Fonte</t>
  </si>
  <si>
    <t xml:space="preserve">Commodity</t>
  </si>
  <si>
    <t xml:space="preserve">Almeida Bueno</t>
  </si>
  <si>
    <t xml:space="preserve">100% algodão, tradicional</t>
  </si>
  <si>
    <t xml:space="preserve">Fornecedor de revenda para marketplace</t>
  </si>
  <si>
    <t xml:space="preserve">almeidabueno.store</t>
  </si>
  <si>
    <t xml:space="preserve">Riachuelo · Classic Premium</t>
  </si>
  <si>
    <t xml:space="preserve">100% algodão peruano</t>
  </si>
  <si>
    <t xml:space="preserve">Promoção, de R$ 69,90</t>
  </si>
  <si>
    <t xml:space="preserve">riachuelo.com.br</t>
  </si>
  <si>
    <t xml:space="preserve">Old Rules</t>
  </si>
  <si>
    <t xml:space="preserve">100% algodão 30.1 penteado, slim</t>
  </si>
  <si>
    <t xml:space="preserve">Loja oficial</t>
  </si>
  <si>
    <t xml:space="preserve">Anúncio oversized</t>
  </si>
  <si>
    <t xml:space="preserve">100% algodão, oversized</t>
  </si>
  <si>
    <t xml:space="preserve">+1.000 vendidos</t>
  </si>
  <si>
    <t xml:space="preserve">Básico com marca</t>
  </si>
  <si>
    <t xml:space="preserve">Malwee</t>
  </si>
  <si>
    <t xml:space="preserve">Amazon</t>
  </si>
  <si>
    <t xml:space="preserve">100% algodão</t>
  </si>
  <si>
    <t xml:space="preserve">De R$ 59,90</t>
  </si>
  <si>
    <t xml:space="preserve">Hering · Camiseta Brasil</t>
  </si>
  <si>
    <t xml:space="preserve">Loja, app e revendas</t>
  </si>
  <si>
    <t xml:space="preserve">100% algodão, 175 g/m², fio próprio</t>
  </si>
  <si>
    <t xml:space="preserve">Lançada em 03/09/2026</t>
  </si>
  <si>
    <t xml:space="preserve">Hering, InfoMoney</t>
  </si>
  <si>
    <t xml:space="preserve">Premium</t>
  </si>
  <si>
    <t xml:space="preserve">Minimal Club · outlet</t>
  </si>
  <si>
    <t xml:space="preserve">93% algodão egípcio</t>
  </si>
  <si>
    <t xml:space="preserve">Preço no Pix</t>
  </si>
  <si>
    <t xml:space="preserve">minimalclub.com.br</t>
  </si>
  <si>
    <t xml:space="preserve">Insider · Tech T-shirt</t>
  </si>
  <si>
    <t xml:space="preserve">Modal INTECH, antiodor</t>
  </si>
  <si>
    <t xml:space="preserve">Preço de entrada</t>
  </si>
  <si>
    <t xml:space="preserve">insiderstore.com.br</t>
  </si>
  <si>
    <t xml:space="preserve">We Basic · Pima</t>
  </si>
  <si>
    <t xml:space="preserve">Algodão Pima</t>
  </si>
  <si>
    <t xml:space="preserve">—</t>
  </si>
  <si>
    <t xml:space="preserve">webasicbrasil.com.br</t>
  </si>
  <si>
    <t xml:space="preserve">Calvin Klein</t>
  </si>
  <si>
    <t xml:space="preserve">Gola careca masculina</t>
  </si>
  <si>
    <t xml:space="preserve">calvinklein.com.br</t>
  </si>
  <si>
    <t xml:space="preserve">Kit 3 básicas algodão</t>
  </si>
  <si>
    <t xml:space="preserve">Algodão</t>
  </si>
  <si>
    <t xml:space="preserve">Oferta registrada</t>
  </si>
  <si>
    <t xml:space="preserve">Pelando</t>
  </si>
  <si>
    <t xml:space="preserve">Kit 3 · loja Shopee</t>
  </si>
  <si>
    <t xml:space="preserve">161 vendas por mês</t>
  </si>
  <si>
    <t xml:space="preserve">Radar Almeida Bueno, 20/08/2026</t>
  </si>
  <si>
    <t xml:space="preserve">SHEIN · kit 3 algodão</t>
  </si>
  <si>
    <t xml:space="preserve">SHEIN</t>
  </si>
  <si>
    <t xml:space="preserve">1º mais vendido, 10 mil+</t>
  </si>
  <si>
    <t xml:space="preserve">Old Rules · kit 3 lisa</t>
  </si>
  <si>
    <t xml:space="preserve">Hering · kit 3 slim</t>
  </si>
  <si>
    <t xml:space="preserve">100% algodão, slim</t>
  </si>
  <si>
    <t xml:space="preserve">Vupt Ofertas</t>
  </si>
  <si>
    <t xml:space="preserve">Upurbano · kit 3 premium</t>
  </si>
  <si>
    <t xml:space="preserve">Algodão premium</t>
  </si>
  <si>
    <t xml:space="preserve">upurbano.com.br</t>
  </si>
  <si>
    <t xml:space="preserve">Old Rules · kit 3 premium</t>
  </si>
  <si>
    <t xml:space="preserve">100% algodão premium</t>
  </si>
  <si>
    <t xml:space="preserve">Reserva · kit 3 básicas</t>
  </si>
  <si>
    <t xml:space="preserve">Algodão, gola careca</t>
  </si>
  <si>
    <t xml:space="preserve">Até R$ 233,82 conforme cor e tamanho</t>
  </si>
  <si>
    <t xml:space="preserve">Malwee · kit 3</t>
  </si>
  <si>
    <t xml:space="preserve">Revenda autorizada</t>
  </si>
  <si>
    <t xml:space="preserve">Insider · kit 3 Tech T-shirt</t>
  </si>
  <si>
    <t xml:space="preserve">Modal INTECH</t>
  </si>
  <si>
    <t xml:space="preserve">Pix com cupom, mai/2026</t>
  </si>
  <si>
    <t xml:space="preserve">Pelando, Insider</t>
  </si>
  <si>
    <t xml:space="preserve">Kit 5 "não amassa"</t>
  </si>
  <si>
    <t xml:space="preserve">Poliéster</t>
  </si>
  <si>
    <t xml:space="preserve">Oferta registrada, R$ 7,77 cada</t>
  </si>
  <si>
    <t xml:space="preserve">Kit 5 100% algodão</t>
  </si>
  <si>
    <t xml:space="preserve">Kit 4 algodão premium</t>
  </si>
  <si>
    <t xml:space="preserve">Hering · kit 5 básicas</t>
  </si>
  <si>
    <t xml:space="preserve">Magalu, Zattini</t>
  </si>
  <si>
    <t xml:space="preserve">Magazine Luiza, Zattini</t>
  </si>
  <si>
    <t xml:space="preserve">Zaroc · kit 5 slim premium</t>
  </si>
  <si>
    <t xml:space="preserve">100% algodão (mescla 88/12)</t>
  </si>
  <si>
    <t xml:space="preserve">De R$ 249 · mais de 1 milhão de peças em marketplaces</t>
  </si>
  <si>
    <t xml:space="preserve">Zaroc · kit 6 Confort</t>
  </si>
  <si>
    <t xml:space="preserve">De R$ 239</t>
  </si>
  <si>
    <t xml:space="preserve">Revenda</t>
  </si>
  <si>
    <t xml:space="preserve">Kit 4 "algodão egípcio"</t>
  </si>
  <si>
    <t xml:space="preserve">Declarado 95% algodão egípcio</t>
  </si>
  <si>
    <t xml:space="preserve">16 mil+ vendidos, nota 4,8</t>
  </si>
  <si>
    <t xml:space="preserve">Minimal Club · kit 4</t>
  </si>
  <si>
    <t xml:space="preserve">Pix · R$ 100 mi de receita em 2025</t>
  </si>
  <si>
    <t xml:space="preserve">Minimal Club · kit 6</t>
  </si>
  <si>
    <t xml:space="preserve">Pix</t>
  </si>
  <si>
    <t xml:space="preserve">UP Básico · kit 10 (Brusque/SC)</t>
  </si>
  <si>
    <t xml:space="preserve">100% algodão 30.1, 5 lisas + 5 estampadas</t>
  </si>
  <si>
    <t xml:space="preserve">De R$ 199,90</t>
  </si>
  <si>
    <t xml:space="preserve">upbasico.com.br</t>
  </si>
  <si>
    <t xml:space="preserve">Old Rules · kit 10</t>
  </si>
  <si>
    <t xml:space="preserve">100% algodão 30.1 penteado</t>
  </si>
  <si>
    <t xml:space="preserve">Com cupom de 10%</t>
  </si>
  <si>
    <t xml:space="preserve">Full · entrega rápida</t>
  </si>
  <si>
    <t xml:space="preserve">RESUMO — R$ POR PEÇA POR TAMANHO DE KIT E SEGMENTO (KITS DE 4 E 6 PEÇAS NO GRUPO DO KIT 5)</t>
  </si>
  <si>
    <t xml:space="preserve">Ofertas</t>
  </si>
  <si>
    <t xml:space="preserve">Mínimo</t>
  </si>
  <si>
    <t xml:space="preserve">Mediana</t>
  </si>
  <si>
    <t xml:space="preserve">Máximo</t>
  </si>
  <si>
    <t xml:space="preserve">TOP 10 — OS NOMES QUE DEFINEM O PREÇO DA CAMISETA BÁSICA EM 2026</t>
  </si>
  <si>
    <t xml:space="preserve">#</t>
  </si>
  <si>
    <t xml:space="preserve">Quem</t>
  </si>
  <si>
    <t xml:space="preserve">Oferta-âncora</t>
  </si>
  <si>
    <t xml:space="preserve">Onde vende</t>
  </si>
  <si>
    <t xml:space="preserve">O que ensina</t>
  </si>
  <si>
    <t xml:space="preserve">Hering (Arezzo&amp;Co após a cisão)</t>
  </si>
  <si>
    <t xml:space="preserve">Camiseta Brasil, 175 g/m²</t>
  </si>
  <si>
    <t xml:space="preserve">Loja, app, revendas, ML</t>
  </si>
  <si>
    <t xml:space="preserve">Maior lançamento em 30 anos; kit 5 revendido a R$ 109,99–174,99</t>
  </si>
  <si>
    <t xml:space="preserve">Fixou o teto da avulsa. Acima de R$ 55 sem marca, a peça perde a comparação.</t>
  </si>
  <si>
    <t xml:space="preserve">Zaroc</t>
  </si>
  <si>
    <t xml:space="preserve">Kit 5 slim 100% algodão</t>
  </si>
  <si>
    <t xml:space="preserve">ML (loja oficial)</t>
  </si>
  <si>
    <t xml:space="preserve">Mais de 1 milhão de peças em marketplaces</t>
  </si>
  <si>
    <t xml:space="preserve">Kit 5 é jogo de escala: R$ 24,60 por peça.</t>
  </si>
  <si>
    <t xml:space="preserve">Insider</t>
  </si>
  <si>
    <t xml:space="preserve">Kit 3 Tech T-shirt (modal)</t>
  </si>
  <si>
    <t xml:space="preserve">Loja própria, marketplaces</t>
  </si>
  <si>
    <t xml:space="preserve">R$ 400 mi (2024) → R$ 800 mi projetados (2026)</t>
  </si>
  <si>
    <t xml:space="preserve">Vende o defeito eliminado, não o tecido.</t>
  </si>
  <si>
    <t xml:space="preserve">Minimal Club</t>
  </si>
  <si>
    <t xml:space="preserve">Kit 4, 93% algodão egípcio</t>
  </si>
  <si>
    <t xml:space="preserve">Loja própria, TikTok</t>
  </si>
  <si>
    <t xml:space="preserve">R$ 4 mi (2021) → R$ 100 mi (2025); 250 mil clientes</t>
  </si>
  <si>
    <t xml:space="preserve">"Algodão egípcio, minimal" é marca, não malha: R$ 115 por peça.</t>
  </si>
  <si>
    <t xml:space="preserve">Malwee (Jaraguá do Sul/SC)</t>
  </si>
  <si>
    <t xml:space="preserve">Kit 3 100% algodão</t>
  </si>
  <si>
    <t xml:space="preserve">ML, Amazon</t>
  </si>
  <si>
    <t xml:space="preserve">Avulsa a R$ 44,87 na Amazon</t>
  </si>
  <si>
    <t xml:space="preserve">É o teto do kit 3 com marca: R$ 52 por peça.</t>
  </si>
  <si>
    <t xml:space="preserve">Reserva (Soma após a cisão)</t>
  </si>
  <si>
    <t xml:space="preserve">Kit 3 básicas</t>
  </si>
  <si>
    <t xml:space="preserve">Amazon, Dafiti, Netshoes</t>
  </si>
  <si>
    <t xml:space="preserve">Grade e cor são preço: o mesmo kit varia 60%.</t>
  </si>
  <si>
    <t xml:space="preserve">Kit 10, 100% algodão 30.1</t>
  </si>
  <si>
    <t xml:space="preserve">ML (loja oficial), Shopee</t>
  </si>
  <si>
    <t xml:space="preserve">Kit 3 a R$ 69,90; kit 10 de R$ 180,89 a R$ 224,99</t>
  </si>
  <si>
    <t xml:space="preserve">Kit 10 é anunciado como "atacado revenda".</t>
  </si>
  <si>
    <t xml:space="preserve">Kit 3 masculino, algodão</t>
  </si>
  <si>
    <t xml:space="preserve">O piso global do kit 3: R$ 20 por peça.</t>
  </si>
  <si>
    <t xml:space="preserve">Riachuelo</t>
  </si>
  <si>
    <t xml:space="preserve">Avulsa, algodão peruano</t>
  </si>
  <si>
    <t xml:space="preserve">Loja, app</t>
  </si>
  <si>
    <t xml:space="preserve">Fibra nomeada a R$ 29,90 no varejo de massa.</t>
  </si>
  <si>
    <t xml:space="preserve">Vendedor TikTok · kit 4 "algodão egípcio"</t>
  </si>
  <si>
    <t xml:space="preserve">Kit 4, declarado 95% egípcio</t>
  </si>
  <si>
    <t xml:space="preserve">O briefing vende, mas a R$ 45 por peça não é fibra longa de verdade.</t>
  </si>
  <si>
    <t xml:space="preserve">Menção local: UP Básico, de Brusque/SC, vende kit de 10 camisetas 100% algodão 30.1 a R$ 149,90 (R$ 14,99 por peça). Ranking exato de faturamento por vendedor dentro de cada marketplace só existe em ferramentas pagas (Nubimetrics, Kalodata); a seleção usa preço praticado e sinais públicos de escala.</t>
  </si>
  <si>
    <t xml:space="preserve">CARTELA DE CORES E LOTE DE LANÇAMENTO</t>
  </si>
  <si>
    <t xml:space="preserve">Núcleo (o que vende o ano todo) + Terra (tendência que já virou neutro). Os tons indicados com ≈ são aproximações de tela: aprove cada cor em lab dip físico.</t>
  </si>
  <si>
    <t xml:space="preserve">Kits no lote de lançamento</t>
  </si>
  <si>
    <t xml:space="preserve">PALETA</t>
  </si>
  <si>
    <t xml:space="preserve">Cor</t>
  </si>
  <si>
    <t xml:space="preserve">Família</t>
  </si>
  <si>
    <t xml:space="preserve">Hex</t>
  </si>
  <si>
    <t xml:space="preserve">Papel</t>
  </si>
  <si>
    <t xml:space="preserve">Núcleo</t>
  </si>
  <si>
    <t xml:space="preserve">#16181C</t>
  </si>
  <si>
    <t xml:space="preserve">tingimento reativo</t>
  </si>
  <si>
    <t xml:space="preserve">A cor nº 1 de camiseta; a que mais desbota.</t>
  </si>
  <si>
    <t xml:space="preserve">Branco óptico</t>
  </si>
  <si>
    <t xml:space="preserve">#FAFAF8</t>
  </si>
  <si>
    <t xml:space="preserve">alvejamento óptico</t>
  </si>
  <si>
    <t xml:space="preserve">Exige malha que não fica transparente.</t>
  </si>
  <si>
    <t xml:space="preserve">Cinza mescla</t>
  </si>
  <si>
    <t xml:space="preserve">#A3A7AC</t>
  </si>
  <si>
    <t xml:space="preserve">fio tinto</t>
  </si>
  <si>
    <t xml:space="preserve">Declarar a composição exata desta cor.</t>
  </si>
  <si>
    <t xml:space="preserve">Azul-marinho</t>
  </si>
  <si>
    <t xml:space="preserve">#1F2A44</t>
  </si>
  <si>
    <t xml:space="preserve">O terceiro neutro.</t>
  </si>
  <si>
    <t xml:space="preserve">Verde-oliva</t>
  </si>
  <si>
    <t xml:space="preserve">Terra</t>
  </si>
  <si>
    <t xml:space="preserve">#5F6B3E</t>
  </si>
  <si>
    <t xml:space="preserve">verde militar</t>
  </si>
  <si>
    <t xml:space="preserve">Aparece nos kits de 4 do TikTok Shop.</t>
  </si>
  <si>
    <t xml:space="preserve">Off-white Nuvem</t>
  </si>
  <si>
    <t xml:space="preserve">#F0EEE9</t>
  </si>
  <si>
    <t xml:space="preserve">≈ Pantone 11-4201 Cloud Dancer (cor de 2026)</t>
  </si>
  <si>
    <t xml:space="preserve">Primeiro branco cor do ano da Pantone.</t>
  </si>
  <si>
    <t xml:space="preserve">Areia</t>
  </si>
  <si>
    <t xml:space="preserve">#D6C6A8</t>
  </si>
  <si>
    <t xml:space="preserve">bege/areia</t>
  </si>
  <si>
    <t xml:space="preserve">Verão 2027 masculino: bege, areia, off-white.</t>
  </si>
  <si>
    <t xml:space="preserve">Café</t>
  </si>
  <si>
    <t xml:space="preserve">#A47764</t>
  </si>
  <si>
    <t xml:space="preserve">≈ Pantone 17-1230 Mocha Mousse (cor de 2025)</t>
  </si>
  <si>
    <t xml:space="preserve">O marrom virou neutro.</t>
  </si>
  <si>
    <t xml:space="preserve">Acento 2027, só em avulsa e em lote pequeno: Azul luminoso (≈ WGSN × Coloro Luminous Blue, cor de 2027), Manteiga (ELLE Brasil, verão 2027) e Argila (≈ WGSN × Coloro Clay, S/S 27).</t>
  </si>
  <si>
    <t xml:space="preserve">COMPOSIÇÃO DOS KITS DE 3 — PEÇAS DE CADA COR</t>
  </si>
  <si>
    <t xml:space="preserve">Participação nos kits</t>
  </si>
  <si>
    <t xml:space="preserve">Clássico</t>
  </si>
  <si>
    <t xml:space="preserve">All Black</t>
  </si>
  <si>
    <t xml:space="preserve">Urbano</t>
  </si>
  <si>
    <t xml:space="preserve">All White</t>
  </si>
  <si>
    <t xml:space="preserve">Total</t>
  </si>
  <si>
    <t xml:space="preserve">KITS POR TAMANHO E COMPOSIÇÃO = ARRED(KITS DO TAMANHO × PARTICIPAÇÃO)</t>
  </si>
  <si>
    <t xml:space="preserve">P</t>
  </si>
  <si>
    <t xml:space="preserve">M</t>
  </si>
  <si>
    <t xml:space="preserve">G</t>
  </si>
  <si>
    <t xml:space="preserve">GG</t>
  </si>
  <si>
    <t xml:space="preserve">XG</t>
  </si>
  <si>
    <t xml:space="preserve">Kits do tamanho</t>
  </si>
  <si>
    <t xml:space="preserve">LOTE DE LANÇAMENTO — PEÇAS POR COR E TAMANHO</t>
  </si>
  <si>
    <t xml:space="preserve">Participação</t>
  </si>
  <si>
    <t xml:space="preserve">Total de peças</t>
  </si>
  <si>
    <t xml:space="preserve">FICHA DE MODELAGEM — CAMISETA ESSENCIAL, MODELAGEM REGULAR</t>
  </si>
  <si>
    <t xml:space="preserve">Medidas da peça pronta em cm. Tórax do corpo pela ABNT NBR 16060 (XG extrapolado pelo mesmo passo de 8 cm). A = ½ tórax, B = comprimento, C = ombro, D = manga, E = ½ boca da manga, F = decote, G = profundidade do decote.</t>
  </si>
  <si>
    <t xml:space="preserve">Tamanho</t>
  </si>
  <si>
    <t xml:space="preserve">Tórax do corpo (cm)</t>
  </si>
  <si>
    <t xml:space="preserve">Ponto médio do corpo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</si>
  <si>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</si>
  <si>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</si>
  <si>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</si>
  <si>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</si>
  <si>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</si>
  <si>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</si>
  <si>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Folga no tórax</t>
  </si>
  <si>
    <t xml:space="preserve">Consumo de malha (× média M/G)</t>
  </si>
  <si>
    <t xml:space="preserve">Grade de produção</t>
  </si>
  <si>
    <t xml:space="preserve">Kits no lote</t>
  </si>
  <si>
    <t xml:space="preserve">Peças no lote</t>
  </si>
  <si>
    <t xml:space="preserve">84–88</t>
  </si>
  <si>
    <t xml:space="preserve">92–96</t>
  </si>
  <si>
    <t xml:space="preserve">100–104</t>
  </si>
  <si>
    <t xml:space="preserve">108–112</t>
  </si>
  <si>
    <t xml:space="preserve">116–120</t>
  </si>
  <si>
    <t xml:space="preserve">Consumo médio ponderado pela grade</t>
  </si>
  <si>
    <t xml:space="preserve">Malha a mais por peça na Essencial (R$)</t>
  </si>
  <si>
    <t xml:space="preserve">Malha a mais em cada XG na Essencial (R$)</t>
  </si>
  <si>
    <t xml:space="preserve">Grade: M e G concentram perto de 30% das vendas cada no varejo brasileiro; a regra 1-2-2-1 produz P e GG pela metade de M e G; o XG entra porque 64,9% dos homens adultos das capitais tinham excesso de peso em 2024 (Vigitel). Recalibre com as vendas dos primeiros 60 dias.</t>
  </si>
  <si>
    <t xml:space="preserve">TOLERÂNCIAS E ENSAIOS</t>
  </si>
  <si>
    <t xml:space="preserve">Item</t>
  </si>
  <si>
    <t xml:space="preserve">Especificação</t>
  </si>
  <si>
    <t xml:space="preserve">Tolerância ou método</t>
  </si>
  <si>
    <t xml:space="preserve">A, B e C</t>
  </si>
  <si>
    <t xml:space="preserve">Tabela acima</t>
  </si>
  <si>
    <t xml:space="preserve">± 1,0 cm</t>
  </si>
  <si>
    <t xml:space="preserve">D, E, F e G</t>
  </si>
  <si>
    <t xml:space="preserve">± 0,5 cm</t>
  </si>
  <si>
    <t xml:space="preserve">Gramatura</t>
  </si>
  <si>
    <t xml:space="preserve">180 g/m²</t>
  </si>
  <si>
    <t xml:space="preserve">± 5% (171 a 189 g/m²)</t>
  </si>
  <si>
    <t xml:space="preserve">Encolhimento</t>
  </si>
  <si>
    <t xml:space="preserve">≤ 5% no comprimento e na largura; meta ≤ 3% com malha pré-encolhida</t>
  </si>
  <si>
    <t xml:space="preserve">ABNT NBR ISO 6330 + ISO 5077</t>
  </si>
  <si>
    <t xml:space="preserve">Torção lateral</t>
  </si>
  <si>
    <t xml:space="preserve">≤ 5%</t>
  </si>
  <si>
    <t xml:space="preserve">ISO 16322</t>
  </si>
  <si>
    <t xml:space="preserve">Solidez à lavagem</t>
  </si>
  <si>
    <t xml:space="preserve">Nota ≥ 4 na escala de cinza</t>
  </si>
  <si>
    <t xml:space="preserve">ABNT NBR ISO 105-C06</t>
  </si>
  <si>
    <t xml:space="preserve">Etiqueta</t>
  </si>
  <si>
    <t xml:space="preserve">Composição, CNPJ, origem, conservação e tamanho</t>
  </si>
  <si>
    <t xml:space="preserve">Resolução Conmetro nº 2/2008</t>
  </si>
  <si>
    <t xml:space="preserve">Acabamento</t>
  </si>
  <si>
    <t xml:space="preserve">Ribana 1×1 de 2 cm; barra de 2,5 cm (manga 2 cm) em duas agulhas; ombro a ombro com fita</t>
  </si>
  <si>
    <t xml:space="preserve">Inspeção visual por lote</t>
  </si>
  <si>
    <t xml:space="preserve">OS SEIS CAMINHOS — COMPARAÇÃO NO MERCADO LIVRE</t>
  </si>
  <si>
    <t xml:space="preserve">Mesma plataforma, mesmas regras. Só mudam produto, kit e preço. Colunas azuis são editáveis; custo, embalagem e peso vêm da Ficha de Custo.</t>
  </si>
  <si>
    <t xml:space="preserve">Caminho</t>
  </si>
  <si>
    <t xml:space="preserve">Preço do kit</t>
  </si>
  <si>
    <t xml:space="preserve">Comissão</t>
  </si>
  <si>
    <t xml:space="preserve">Custo logístico</t>
  </si>
  <si>
    <t xml:space="preserve">Frete</t>
  </si>
  <si>
    <t xml:space="preserve">Mídia</t>
  </si>
  <si>
    <t xml:space="preserve">Imposto</t>
  </si>
  <si>
    <t xml:space="preserve">Devolução</t>
  </si>
  <si>
    <t xml:space="preserve">Total custos</t>
  </si>
  <si>
    <t xml:space="preserve">MC R$</t>
  </si>
  <si>
    <t xml:space="preserve">MC %</t>
  </si>
  <si>
    <t xml:space="preserve">A. Kit 5 · Essencial · R$ 99</t>
  </si>
  <si>
    <t xml:space="preserve">B. Kit 5 · Popular · R$ 99</t>
  </si>
  <si>
    <t xml:space="preserve">C. Kit 5 · peça a R$ 8,00 · R$ 99</t>
  </si>
  <si>
    <t xml:space="preserve">D. Kit 3 · Essencial · R$ 169,90</t>
  </si>
  <si>
    <t xml:space="preserve">E. Avulsa · Fibra Longa · R$ 119,90</t>
  </si>
  <si>
    <t xml:space="preserve">F. Avulsa · Essencial · R$ 54,90</t>
  </si>
  <si>
    <t xml:space="preserve">Kit 5 a R$ 99 (Popular): custo máximo por peça para empatar</t>
  </si>
  <si>
    <t xml:space="preserve">Acima destes custos, o kit de 5 a R$ 99 dá prejuízo (linha 12) ou fica abaixo de 15% (linha 13) no Mercado Livre.</t>
  </si>
  <si>
    <t xml:space="preserve">Kit 5 a R$ 99 (Popular): custo máximo por peça para a margem mínima</t>
  </si>
  <si>
    <t xml:space="preserve">SENSIBILIDADE — MARGEM DE CONTRIBUIÇÃO NO MERCADO LIVRE</t>
  </si>
  <si>
    <t xml:space="preserve">Linhas: custo por peça. Colunas: preço do kit. Peças, embalagem e peso do pacote vêm de Premissas (kit em simulação). Frete pela tabela verde.</t>
  </si>
  <si>
    <t xml:space="preserve">Kit em simulação:</t>
  </si>
  <si>
    <t xml:space="preserve">Custo/peça ↓   Preço →</t>
  </si>
  <si>
    <t xml:space="preserve">Leitura: verde = margem mínima ou mais; amarelo = entre 0% e a margem mínima; vermelho = prejuízo. Custos em azul na coluna A: 10,43 = Popular, 20,52 = Essencial, 31,83 = Fibra Longa.</t>
  </si>
  <si>
    <t xml:space="preserve">PROJEÇÃO DE 12 MESES — KIT 3 ESSENCIAL</t>
  </si>
  <si>
    <t xml:space="preserve">Volumes em azul são premissas de rampa de vendedor novo em moda. Preço e margens vêm de Premissas e Calculadora (kit em simulação).</t>
  </si>
  <si>
    <t xml:space="preserve">Fator de cenário:</t>
  </si>
  <si>
    <t xml:space="preserve">Use 0,60 para o cenário conservador, 1,00 para o base e 1,50 para o agressivo.</t>
  </si>
  <si>
    <t xml:space="preserve">Mês</t>
  </si>
  <si>
    <t xml:space="preserve">Kits ML</t>
  </si>
  <si>
    <t xml:space="preserve">Kits Shopee</t>
  </si>
  <si>
    <t xml:space="preserve">Kits TikTok</t>
  </si>
  <si>
    <t xml:space="preserve">Total kits</t>
  </si>
  <si>
    <t xml:space="preserve">Faturamento</t>
  </si>
  <si>
    <t xml:space="preserve">MC Mercado Livre</t>
  </si>
  <si>
    <t xml:space="preserve">MC total</t>
  </si>
  <si>
    <t xml:space="preserve">Custo fixo</t>
  </si>
  <si>
    <t xml:space="preserve">Resultado</t>
  </si>
  <si>
    <t xml:space="preserve">Acumulado</t>
  </si>
  <si>
    <t xml:space="preserve">ANO 1</t>
  </si>
  <si>
    <t xml:space="preserve">Investimento inicial estimado</t>
  </si>
  <si>
    <t xml:space="preserve">Estoque inicial · 1.200 kits</t>
  </si>
  <si>
    <t xml:space="preserve">Kits do lote (aba Cores) × CMV do kit em simulação.</t>
  </si>
  <si>
    <t xml:space="preserve">Fotografia e conteúdo · 5 kits e 4 cores de avulsa</t>
  </si>
  <si>
    <t xml:space="preserve">Modelo real, 7 imagens por SKU, detalhe da gola e da etiqueta, tabela de medidas em imagem.</t>
  </si>
  <si>
    <t xml:space="preserve">ERP e hub de integração · setup + 12 meses</t>
  </si>
  <si>
    <t xml:space="preserve">Gestão de estoque unificada entre as três plataformas.</t>
  </si>
  <si>
    <t xml:space="preserve">Ferramentas de inteligência · 12 meses</t>
  </si>
  <si>
    <t xml:space="preserve">Nubimetrics para o Mercado Livre e Kalodata para o TikTok Shop.</t>
  </si>
  <si>
    <t xml:space="preserve">Caixa de mídia · 3 meses</t>
  </si>
  <si>
    <t xml:space="preserve">Product Ads e Shopee Ads no período de maturação da reputação.</t>
  </si>
  <si>
    <t xml:space="preserve">Reserva operacional</t>
  </si>
  <si>
    <t xml:space="preserve">O repasse do marketplace leva de 14 a 30 dias; o caixa precisa cobrir 60 dias de ciclo.</t>
  </si>
  <si>
    <t xml:space="preserve">TOTAL DO INVESTIMENTO</t>
  </si>
  <si>
    <t xml:space="preserve">Mês em que o caixa acumulado cobre o investimento</t>
  </si>
  <si>
    <t xml:space="preserve">Compara o acumulado de cada mês com o investimento. No cenário base, o mês 13 cobre o investimento se o resultado do mês 12 se repetir.</t>
  </si>
  <si>
    <t xml:space="preserve">Mês do equilíbrio operacional</t>
  </si>
  <si>
    <t xml:space="preserve">Peças por semana no mês 12</t>
  </si>
  <si>
    <t xml:space="preserve">Capacidade fabril que o cenário exige no fim do ano 1, com grade completa.</t>
  </si>
  <si>
    <t xml:space="preserve">CALCULADORA DE MÍDIA — LOJA PRÓPRIA</t>
  </si>
  <si>
    <t xml:space="preserve">O Meta cobra por impressão; o Google, por clique. Os dois alimentam o mesmo produto.</t>
  </si>
  <si>
    <t xml:space="preserve">ENTRADAS</t>
  </si>
  <si>
    <t xml:space="preserve">Ticket médio</t>
  </si>
  <si>
    <t xml:space="preserve">Vem de Premissas!B15.</t>
  </si>
  <si>
    <t xml:space="preserve">Vem da Calculadora: loja própria, antes do custo de aquisição.</t>
  </si>
  <si>
    <t xml:space="preserve">Verba mensal total</t>
  </si>
  <si>
    <t xml:space="preserve">Split da verba para Meta</t>
  </si>
  <si>
    <t xml:space="preserve">O restante vai para o Google.</t>
  </si>
  <si>
    <t xml:space="preserve">CPM — Meta</t>
  </si>
  <si>
    <t xml:space="preserve">Feed no Brasil em 2026: R$ 15 a R$ 35. Stories e Reels: R$ 8 a R$ 20.</t>
  </si>
  <si>
    <t xml:space="preserve">CTR — Meta</t>
  </si>
  <si>
    <t xml:space="preserve">Cliques ÷ impressões.</t>
  </si>
  <si>
    <t xml:space="preserve">Conversão — Meta</t>
  </si>
  <si>
    <t xml:space="preserve">Pedidos ÷ cliques.</t>
  </si>
  <si>
    <t xml:space="preserve">CPC — Google</t>
  </si>
  <si>
    <t xml:space="preserve">Moda no Brasil: R$ 1,50 a R$ 4,00.</t>
  </si>
  <si>
    <t xml:space="preserve">Conversão — Google</t>
  </si>
  <si>
    <t xml:space="preserve">A busca converte melhor porque a intenção já existe.</t>
  </si>
  <si>
    <t xml:space="preserve">Taxa de recompra em 12 meses</t>
  </si>
  <si>
    <t xml:space="preserve">Sem retenção: 15% a 25%. Com fidelidade e e-mail: 35% a 50%.</t>
  </si>
  <si>
    <t xml:space="preserve">Pedidos extras por recomprador</t>
  </si>
  <si>
    <t xml:space="preserve">RESULTADO</t>
  </si>
  <si>
    <t xml:space="preserve">Margem de contribuição por pedido</t>
  </si>
  <si>
    <t xml:space="preserve">Antes do custo de mídia.</t>
  </si>
  <si>
    <t xml:space="preserve">ROAS de equilíbrio</t>
  </si>
  <si>
    <t xml:space="preserve">Abaixo disso a mídia não se paga. Mediana de mercado em Meta Ads: 1,93×.</t>
  </si>
  <si>
    <t xml:space="preserve">Verba — Meta</t>
  </si>
  <si>
    <t xml:space="preserve">Verba — Google</t>
  </si>
  <si>
    <t xml:space="preserve">Impressões — Meta</t>
  </si>
  <si>
    <t xml:space="preserve">Cliques — Meta</t>
  </si>
  <si>
    <t xml:space="preserve">Pedidos — Meta</t>
  </si>
  <si>
    <t xml:space="preserve">Cliques — Google</t>
  </si>
  <si>
    <t xml:space="preserve">Pedidos — Google</t>
  </si>
  <si>
    <t xml:space="preserve">Pedidos totais</t>
  </si>
  <si>
    <t xml:space="preserve">CAC médio</t>
  </si>
  <si>
    <t xml:space="preserve">Custo de aquisição por cliente.</t>
  </si>
  <si>
    <t xml:space="preserve">Receita gerada</t>
  </si>
  <si>
    <t xml:space="preserve">ROAS realizado</t>
  </si>
  <si>
    <t xml:space="preserve">Resultado após mídia</t>
  </si>
  <si>
    <t xml:space="preserve">Negativo: a primeira compra não paga a aquisição.</t>
  </si>
  <si>
    <t xml:space="preserve">LTV em 12 meses</t>
  </si>
  <si>
    <t xml:space="preserve">Margem da primeira compra mais a das recompras.</t>
  </si>
  <si>
    <t xml:space="preserve">LTV ÷ CAC</t>
  </si>
  <si>
    <t xml:space="preserve">A regra de mercado é no mínimo 3,0×.</t>
  </si>
  <si>
    <t xml:space="preserve">TABELAS DE REFERÊNCIA — VIGENTES EM OUTUBRO DE 2026</t>
  </si>
  <si>
    <t xml:space="preserve">As faixas numéricas da Shopee e do TikTok Shop alimentam a Calculadora, Kits calculo e Tabela de Precos.</t>
  </si>
  <si>
    <t xml:space="preserve">MERCADO LIVRE — CATEGORIA MODA</t>
  </si>
  <si>
    <t xml:space="preserve">Tipo de anúncio</t>
  </si>
  <si>
    <t xml:space="preserve">Custo adicional</t>
  </si>
  <si>
    <t xml:space="preserve">Parcelamento sem juros limitado. Menor taxa, menor exposição.</t>
  </si>
  <si>
    <t xml:space="preserve">12x sem juros e mais exposição na busca.</t>
  </si>
  <si>
    <t xml:space="preserve">Preço abaixo de R$ 79</t>
  </si>
  <si>
    <t xml:space="preserve">custo logístico</t>
  </si>
  <si>
    <t xml:space="preserve">Desde 02/03/2026 a taxa fixa virou custo operacional por peso (aba Frete 2026, coluna B). O ML banca o frete do comprador a partir de R$ 19.</t>
  </si>
  <si>
    <t xml:space="preserve">Preço a partir de R$ 79</t>
  </si>
  <si>
    <t xml:space="preserve">frete grátis</t>
  </si>
  <si>
    <t xml:space="preserve">Frete grátis obrigatório pago pelo vendedor pela tabela de reputação (aba Frete 2026). Reputação vermelha paga o dobro da verde.</t>
  </si>
  <si>
    <t xml:space="preserve">SHOPEE — TABELA DE MARÇO DE 2026 (COBRADA POR ITEM; O KIT É UM ITEM)</t>
  </si>
  <si>
    <t xml:space="preserve">Faixa de preço</t>
  </si>
  <si>
    <t xml:space="preserve">A partir de (R$)</t>
  </si>
  <si>
    <t xml:space="preserve">Taxa fixa por item</t>
  </si>
  <si>
    <t xml:space="preserve">Abaixo de R$ 8</t>
  </si>
  <si>
    <t xml:space="preserve">Faixa punitiva.</t>
  </si>
  <si>
    <t xml:space="preserve">De R$ 8 a R$ 79,99</t>
  </si>
  <si>
    <t xml:space="preserve">A pior faixa para ticket baixo: 20% mais R$ 4.</t>
  </si>
  <si>
    <t xml:space="preserve">De R$ 80 a R$ 99,99</t>
  </si>
  <si>
    <t xml:space="preserve">A comissão cai, mas a taxa fixa sobe muito: evite esta faixa.</t>
  </si>
  <si>
    <t xml:space="preserve">De R$ 100 a R$ 199,99</t>
  </si>
  <si>
    <t xml:space="preserve">Faixa do kit de 3 a R$ 169,90.</t>
  </si>
  <si>
    <t xml:space="preserve">R$ 200 ou mais</t>
  </si>
  <si>
    <t xml:space="preserve">Sem teto de comissão desde março de 2026.</t>
  </si>
  <si>
    <t xml:space="preserve">O Programa de Frete Grátis ficou obrigatório em março de 2026 e está embutido na comissão. Vendedores CPF com mais de 450 pedidos em 90 dias pagam R$ 3 a mais por item.</t>
  </si>
  <si>
    <t xml:space="preserve">TIKTOK SHOP — TABELA DE 15 DE JULHO DE 2026</t>
  </si>
  <si>
    <t xml:space="preserve">Abaixo de R$ 50</t>
  </si>
  <si>
    <t xml:space="preserve">A comissão subiu de 6% para 10% nesta faixa.</t>
  </si>
  <si>
    <t xml:space="preserve">R$ 50 ou mais</t>
  </si>
  <si>
    <t xml:space="preserve">A taxa fixa subiu de R$ 4 para R$ 6.</t>
  </si>
  <si>
    <t xml:space="preserve">Programa de frete grátis: 6% sobre o produto (inalterado). Comissão de afiliado: de 10% a 20% em roupas, definida pelo vendedor. Ambos em Premissas.</t>
  </si>
  <si>
    <t xml:space="preserve">SIMPLES NACIONAL 2026 — ALÍQUOTAS NOMINAIS</t>
  </si>
  <si>
    <t xml:space="preserve">Receita bruta em 12 meses</t>
  </si>
  <si>
    <t xml:space="preserve">Anexo I · Comércio</t>
  </si>
  <si>
    <t xml:space="preserve">Anexo II · Indústria</t>
  </si>
  <si>
    <t xml:space="preserve">Parcela a deduzir</t>
  </si>
  <si>
    <t xml:space="preserve">Até R$ 180.000</t>
  </si>
  <si>
    <t xml:space="preserve">De R$ 180.000 a R$ 360.000</t>
  </si>
  <si>
    <t xml:space="preserve">R$ 5.940</t>
  </si>
  <si>
    <t xml:space="preserve">De R$ 360.000 a R$ 720.000</t>
  </si>
  <si>
    <t xml:space="preserve">R$ 13.860</t>
  </si>
  <si>
    <t xml:space="preserve">De R$ 720.000 a R$ 1.800.000</t>
  </si>
  <si>
    <t xml:space="preserve">R$ 22.500</t>
  </si>
  <si>
    <t xml:space="preserve">De R$ 1.800.000 a R$ 3.600.000</t>
  </si>
  <si>
    <t xml:space="preserve">I: R$ 87.300 · II: R$ 85.500</t>
  </si>
  <si>
    <t xml:space="preserve">De R$ 3.600.000 a R$ 4.800.000</t>
  </si>
  <si>
    <t xml:space="preserve">I: R$ 378.000 · II: R$ 720.000</t>
  </si>
  <si>
    <t xml:space="preserve">Alíquota efetiva = [(RBT12 × nominal) − parcela a deduzir] ÷ RBT12. Reforma tributária: 2026 é ano de teste (CBS 0,9%, IBS 0,1%) sem efeito no DAS. A opção de IBS e CBS fora do DAS para o 1º semestre de 2027 foi de 1º a 30/09/2026 (Resolução CGSN nº 186/2026) e pode ser cancelada até 30/11/2026, de forma irretratável; a próxima janela é março de 2027.</t>
  </si>
  <si>
    <t xml:space="preserve">MÍDIA E DEVOLUÇÃO — REFERÊNCIAS DE 2026</t>
  </si>
  <si>
    <t xml:space="preserve">Indicador</t>
  </si>
  <si>
    <t xml:space="preserve">CPM Meta — Feed</t>
  </si>
  <si>
    <t xml:space="preserve">R$ 15 a R$ 35</t>
  </si>
  <si>
    <t xml:space="preserve">Benchmarks Brasil 2026</t>
  </si>
  <si>
    <t xml:space="preserve">CPM Meta — Stories e Reels</t>
  </si>
  <si>
    <t xml:space="preserve">R$ 8 a R$ 20</t>
  </si>
  <si>
    <t xml:space="preserve">Mais barato, exige criativo em vídeo.</t>
  </si>
  <si>
    <t xml:space="preserve">CPC Google — moda</t>
  </si>
  <si>
    <t xml:space="preserve">R$ 1,50 a R$ 4,00</t>
  </si>
  <si>
    <t xml:space="preserve">Média geral da Rede de Pesquisa perto de R$ 2,50.</t>
  </si>
  <si>
    <t xml:space="preserve">ROAS mediano — e-commerce</t>
  </si>
  <si>
    <t xml:space="preserve">1,93×</t>
  </si>
  <si>
    <t xml:space="preserve">Benchmarks por indústria</t>
  </si>
  <si>
    <t xml:space="preserve">Mediana de mercado em Meta Ads.</t>
  </si>
  <si>
    <t xml:space="preserve">Aumento de custo do Meta Ads</t>
  </si>
  <si>
    <t xml:space="preserve">12,15%</t>
  </si>
  <si>
    <t xml:space="preserve">Repasse de 01/01/2026</t>
  </si>
  <si>
    <t xml:space="preserve">PIS/Cofins de 9,25% e ISS de 2,9%.</t>
  </si>
  <si>
    <t xml:space="preserve">Devolução em moda online</t>
  </si>
  <si>
    <t xml:space="preserve">30% a 40%</t>
  </si>
  <si>
    <t xml:space="preserve">E-commerce Brasil 2026</t>
  </si>
  <si>
    <t xml:space="preserve">Tamanho errado responde por mais da metade dos casos.</t>
  </si>
  <si>
    <t xml:space="preserve">Recompra sem retenção</t>
  </si>
  <si>
    <t xml:space="preserve">15% a 25%</t>
  </si>
  <si>
    <t xml:space="preserve">Benchmarks de varejo</t>
  </si>
  <si>
    <t xml:space="preserve">Com fidelidade e e-mail: 35% a 50%.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</si>
</sst>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;\(#,##0\);\-"/>
    <numFmt numFmtId="166" formatCode="&quot;R$ &quot;#,##0.00;&quot;(R$ &quot;#,##0.00\);\-"/>
    <numFmt numFmtId="167" formatCode="0.00&quot; kg&quot;"/>
    <numFmt numFmtId="168" formatCode="0.0%;\(0.0%\);\-"/>
    <numFmt numFmtId="169" formatCode="0.00%;\(0.00%\);\-"/>
    <numFmt numFmtId="170" formatCode="&quot;R$ &quot;#,##0;&quot;(R$ &quot;#,##0\);\-"/>
    <numFmt numFmtId="171" formatCode="0.00\×"/>
    <numFmt numFmtId="172" formatCode="0.000"/>
    <numFmt numFmtId="173" formatCode="&quot;Kit &quot;0"/>
    <numFmt numFmtId="174" formatCode="0.0&quot; kg&quot;"/>
    <numFmt numFmtId="175" formatCode="0.00"/>
    <numFmt numFmtId="176" formatCode="0.0"/>
    <numFmt numFmtId="177" formatCode="0.000\×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A6E"/>
        <bgColor rgb="FF1F2A44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0EEE9"/>
      </patternFill>
    </fill>
    <fill>
      <patternFill patternType="solid">
        <fgColor rgb="FFE8F4EF"/>
        <bgColor rgb="FFF2F2F2"/>
      </patternFill>
    </fill>
    <fill>
      <patternFill patternType="solid">
        <fgColor rgb="FF16181C"/>
        <bgColor rgb="FF1F2937"/>
      </patternFill>
    </fill>
    <fill>
      <patternFill patternType="solid">
        <fgColor rgb="FFFAFAF8"/>
        <bgColor rgb="FFFFFFFF"/>
      </patternFill>
    </fill>
    <fill>
      <patternFill patternType="solid">
        <fgColor rgb="FFA3A7AC"/>
        <bgColor rgb="FFBFBFBF"/>
      </patternFill>
    </fill>
    <fill>
      <patternFill patternType="solid">
        <fgColor rgb="FF1F2A44"/>
        <bgColor rgb="FF1F2937"/>
      </patternFill>
    </fill>
    <fill>
      <patternFill patternType="solid">
        <fgColor rgb="FF5F6B3E"/>
        <bgColor rgb="FF6B7280"/>
      </patternFill>
    </fill>
    <fill>
      <patternFill patternType="solid">
        <fgColor rgb="FFF0EEE9"/>
        <bgColor rgb="FFF2F2F2"/>
      </patternFill>
    </fill>
    <fill>
      <patternFill patternType="solid">
        <fgColor rgb="FFD6C6A8"/>
        <bgColor rgb="FFBFBFBF"/>
      </patternFill>
    </fill>
    <fill>
      <patternFill patternType="solid">
        <fgColor rgb="FFA47764"/>
        <bgColor rgb="FF6B72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2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BF1E0"/>
        </patternFill>
      </fill>
    </dxf>
    <dxf>
      <fill>
        <patternFill>
          <bgColor rgb="FFFCECEA"/>
        </patternFill>
      </fill>
    </dxf>
    <dxf>
      <fill>
        <patternFill>
          <bgColor rgb="FFE8F4E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F6B3E"/>
      <rgbColor rgb="FF800080"/>
      <rgbColor rgb="FF008080"/>
      <rgbColor rgb="FFBFBFBF"/>
      <rgbColor rgb="FFA47764"/>
      <rgbColor rgb="FF9999FF"/>
      <rgbColor rgb="FF993366"/>
      <rgbColor rgb="FFFBF1E0"/>
      <rgbColor rgb="FFE8F4EF"/>
      <rgbColor rgb="FF660066"/>
      <rgbColor rgb="FFFF8080"/>
      <rgbColor rgb="FF0066CC"/>
      <rgbColor rgb="FFFAF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0EEE9"/>
      <rgbColor rgb="FFFCECEA"/>
      <rgbColor rgb="FF99CCFF"/>
      <rgbColor rgb="FFFF99CC"/>
      <rgbColor rgb="FFCC99FF"/>
      <rgbColor rgb="FFD6C6A8"/>
      <rgbColor rgb="FF3366FF"/>
      <rgbColor rgb="FF33CCCC"/>
      <rgbColor rgb="FF99CC00"/>
      <rgbColor rgb="FFFFCC00"/>
      <rgbColor rgb="FFFF9900"/>
      <rgbColor rgb="FFFF6600"/>
      <rgbColor rgb="FF6B7280"/>
      <rgbColor rgb="FFA3A7AC"/>
      <rgbColor rgb="FF1F3A6E"/>
      <rgbColor rgb="FF339966"/>
      <rgbColor rgb="FF16181C"/>
      <rgbColor rgb="FF1F2A44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5"/>
    </row>
    <row r="5" customFormat="false" ht="30" hidden="false" customHeight="true" outlineLevel="0" collapsed="false">
      <c r="A5" s="6" t="s">
        <v>3</v>
      </c>
      <c r="B5" s="7" t="s">
        <v>4</v>
      </c>
    </row>
    <row r="6" customFormat="false" ht="30" hidden="false" customHeight="true" outlineLevel="0" collapsed="false">
      <c r="A6" s="6" t="s">
        <v>5</v>
      </c>
      <c r="B6" s="7" t="s">
        <v>6</v>
      </c>
    </row>
    <row r="7" customFormat="false" ht="30" hidden="false" customHeight="true" outlineLevel="0" collapsed="false">
      <c r="A7" s="6" t="s">
        <v>7</v>
      </c>
      <c r="B7" s="7" t="s">
        <v>8</v>
      </c>
    </row>
    <row r="8" customFormat="false" ht="30" hidden="false" customHeight="true" outlineLevel="0" collapsed="false">
      <c r="A8" s="6" t="s">
        <v>9</v>
      </c>
      <c r="B8" s="7" t="s">
        <v>10</v>
      </c>
    </row>
    <row r="9" customFormat="false" ht="30" hidden="false" customHeight="true" outlineLevel="0" collapsed="false">
      <c r="A9" s="6" t="s">
        <v>11</v>
      </c>
      <c r="B9" s="7" t="s">
        <v>12</v>
      </c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4" t="s">
        <v>13</v>
      </c>
      <c r="B11" s="5"/>
    </row>
    <row r="12" customFormat="false" ht="15" hidden="false" customHeight="false" outlineLevel="0" collapsed="false">
      <c r="A12" s="8" t="s">
        <v>14</v>
      </c>
      <c r="B12" s="7" t="s">
        <v>15</v>
      </c>
    </row>
    <row r="13" customFormat="false" ht="15" hidden="false" customHeight="false" outlineLevel="0" collapsed="false">
      <c r="A13" s="6" t="s">
        <v>16</v>
      </c>
      <c r="B13" s="7" t="s">
        <v>17</v>
      </c>
    </row>
    <row r="14" customFormat="false" ht="15" hidden="false" customHeight="false" outlineLevel="0" collapsed="false">
      <c r="A14" s="9" t="s">
        <v>18</v>
      </c>
      <c r="B14" s="7" t="s">
        <v>19</v>
      </c>
    </row>
    <row r="15" customFormat="false" ht="15" hidden="false" customHeight="false" outlineLevel="0" collapsed="false">
      <c r="A15" s="6" t="s">
        <v>20</v>
      </c>
      <c r="B15" s="7" t="s">
        <v>21</v>
      </c>
    </row>
    <row r="16" customFormat="false" ht="15" hidden="false" customHeight="false" outlineLevel="0" collapsed="false">
      <c r="A16" s="6" t="s">
        <v>22</v>
      </c>
      <c r="B16" s="7" t="s">
        <v>23</v>
      </c>
    </row>
    <row r="17" customFormat="false" ht="15" hidden="false" customHeight="false" outlineLevel="0" collapsed="false">
      <c r="A17" s="2"/>
      <c r="B17" s="2"/>
    </row>
    <row r="18" customFormat="false" ht="15" hidden="false" customHeight="false" outlineLevel="0" collapsed="false">
      <c r="A18" s="4" t="s">
        <v>24</v>
      </c>
      <c r="B18" s="5"/>
    </row>
    <row r="19" customFormat="false" ht="27.75" hidden="false" customHeight="true" outlineLevel="0" collapsed="false">
      <c r="A19" s="6" t="s">
        <v>25</v>
      </c>
      <c r="B19" s="7" t="s">
        <v>26</v>
      </c>
    </row>
    <row r="20" customFormat="false" ht="27.75" hidden="false" customHeight="true" outlineLevel="0" collapsed="false">
      <c r="A20" s="6" t="s">
        <v>27</v>
      </c>
      <c r="B20" s="7" t="s">
        <v>28</v>
      </c>
    </row>
    <row r="21" customFormat="false" ht="27.75" hidden="false" customHeight="true" outlineLevel="0" collapsed="false">
      <c r="A21" s="6" t="s">
        <v>29</v>
      </c>
      <c r="B21" s="7" t="s">
        <v>30</v>
      </c>
    </row>
    <row r="22" customFormat="false" ht="27.75" hidden="false" customHeight="true" outlineLevel="0" collapsed="false">
      <c r="A22" s="6" t="s">
        <v>31</v>
      </c>
      <c r="B22" s="7" t="s">
        <v>32</v>
      </c>
    </row>
    <row r="23" customFormat="false" ht="27.75" hidden="false" customHeight="true" outlineLevel="0" collapsed="false">
      <c r="A23" s="6" t="s">
        <v>33</v>
      </c>
      <c r="B23" s="7" t="s">
        <v>34</v>
      </c>
    </row>
    <row r="24" customFormat="false" ht="27.75" hidden="false" customHeight="true" outlineLevel="0" collapsed="false">
      <c r="A24" s="6" t="s">
        <v>35</v>
      </c>
      <c r="B24" s="7" t="s">
        <v>36</v>
      </c>
    </row>
    <row r="25" customFormat="false" ht="15" hidden="false" customHeight="false" outlineLevel="0" collapsed="false">
      <c r="A25" s="2"/>
      <c r="B25" s="2"/>
    </row>
    <row r="26" customFormat="false" ht="15" hidden="false" customHeight="false" outlineLevel="0" collapsed="false">
      <c r="A26" s="4" t="s">
        <v>37</v>
      </c>
      <c r="B26" s="5"/>
    </row>
    <row r="27" customFormat="false" ht="27.75" hidden="false" customHeight="true" outlineLevel="0" collapsed="false">
      <c r="A27" s="6" t="s">
        <v>38</v>
      </c>
      <c r="B27" s="7" t="s">
        <v>39</v>
      </c>
    </row>
    <row r="28" customFormat="false" ht="27.75" hidden="false" customHeight="true" outlineLevel="0" collapsed="false">
      <c r="A28" s="6" t="s">
        <v>40</v>
      </c>
      <c r="B28" s="7" t="s">
        <v>41</v>
      </c>
    </row>
    <row r="29" customFormat="false" ht="27.75" hidden="false" customHeight="true" outlineLevel="0" collapsed="false">
      <c r="A29" s="6" t="s">
        <v>42</v>
      </c>
      <c r="B29" s="7" t="s">
        <v>43</v>
      </c>
    </row>
    <row r="30" customFormat="false" ht="27.75" hidden="false" customHeight="true" outlineLevel="0" collapsed="false">
      <c r="A30" s="6" t="s">
        <v>44</v>
      </c>
      <c r="B30" s="7" t="s">
        <v>45</v>
      </c>
    </row>
    <row r="31" customFormat="false" ht="15" hidden="false" customHeight="false" outlineLevel="0" collapsed="false">
      <c r="A31" s="2"/>
      <c r="B31" s="2"/>
    </row>
    <row r="32" customFormat="false" ht="15" hidden="false" customHeight="false" outlineLevel="0" collapsed="false">
      <c r="A32" s="4" t="s">
        <v>46</v>
      </c>
      <c r="B32" s="5"/>
    </row>
    <row r="33" customFormat="false" ht="27.75" hidden="false" customHeight="true" outlineLevel="0" collapsed="false">
      <c r="A33" s="2"/>
      <c r="B33" s="7" t="s">
        <v>47</v>
      </c>
    </row>
    <row r="34" customFormat="false" ht="27.75" hidden="false" customHeight="true" outlineLevel="0" collapsed="false">
      <c r="A34" s="2"/>
      <c r="B34" s="7" t="s">
        <v>48</v>
      </c>
    </row>
    <row r="35" customFormat="false" ht="27.75" hidden="false" customHeight="true" outlineLevel="0" collapsed="false">
      <c r="A35" s="2"/>
      <c r="B35" s="7" t="s">
        <v>49</v>
      </c>
    </row>
    <row r="36" customFormat="false" ht="27.75" hidden="false" customHeight="true" outlineLevel="0" collapsed="false">
      <c r="A36" s="2"/>
      <c r="B36" s="7" t="s">
        <v>50</v>
      </c>
    </row>
    <row r="37" customFormat="false" ht="27.75" hidden="false" customHeight="true" outlineLevel="0" collapsed="false">
      <c r="A37" s="2"/>
      <c r="B37" s="7" t="s">
        <v>51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Kits de camisetas · Rev. 02 · Blumenau, outubro de 2026&amp;R&amp;8 &amp;A ·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82"/>
  </cols>
  <sheetData>
    <row r="1" customFormat="false" ht="17.35" hidden="false" customHeight="false" outlineLevel="0" collapsed="false">
      <c r="A1" s="1" t="s">
        <v>52</v>
      </c>
      <c r="B1" s="2"/>
      <c r="C1" s="2"/>
    </row>
    <row r="2" customFormat="false" ht="15" hidden="false" customHeight="false" outlineLevel="0" collapsed="false">
      <c r="A2" s="3" t="s">
        <v>53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54</v>
      </c>
      <c r="B4" s="5"/>
      <c r="C4" s="5"/>
    </row>
    <row r="5" customFormat="false" ht="15" hidden="false" customHeight="false" outlineLevel="0" collapsed="false">
      <c r="A5" s="10" t="s">
        <v>55</v>
      </c>
      <c r="B5" s="11" t="s">
        <v>56</v>
      </c>
      <c r="C5" s="12" t="s">
        <v>57</v>
      </c>
    </row>
    <row r="6" customFormat="false" ht="15" hidden="false" customHeight="false" outlineLevel="0" collapsed="false">
      <c r="A6" s="10" t="s">
        <v>58</v>
      </c>
      <c r="B6" s="13" t="n">
        <v>3</v>
      </c>
      <c r="C6" s="12" t="s">
        <v>59</v>
      </c>
    </row>
    <row r="7" customFormat="false" ht="15" hidden="false" customHeight="false" outlineLevel="0" collapsed="false">
      <c r="A7" s="10" t="s">
        <v>60</v>
      </c>
      <c r="B7" s="14" t="n">
        <f aca="false">MATCH(B5,'Ficha de Custo'!$B$4:$D$4,0)</f>
        <v>2</v>
      </c>
      <c r="C7" s="2"/>
    </row>
    <row r="8" customFormat="false" ht="15" hidden="false" customHeight="false" outlineLevel="0" collapsed="false">
      <c r="A8" s="10" t="s">
        <v>61</v>
      </c>
      <c r="B8" s="15"/>
      <c r="C8" s="12" t="s">
        <v>62</v>
      </c>
    </row>
    <row r="9" customFormat="false" ht="15" hidden="false" customHeight="false" outlineLevel="0" collapsed="false">
      <c r="A9" s="6" t="s">
        <v>63</v>
      </c>
      <c r="B9" s="16" t="n">
        <f aca="false">IF(ISNUMBER(B8),B8,INDEX('Ficha de Custo'!$B$14:$D$14,B7))</f>
        <v>20.52</v>
      </c>
      <c r="C9" s="2"/>
    </row>
    <row r="10" customFormat="false" ht="15" hidden="false" customHeight="false" outlineLevel="0" collapsed="false">
      <c r="A10" s="10" t="s">
        <v>64</v>
      </c>
      <c r="B10" s="17" t="n">
        <f aca="false">IFERROR(INDEX('Ficha de Custo'!$B$18:$D$21,MATCH(B6,'Ficha de Custo'!$A$18:$A$21,0),B7),INDEX('Ficha de Custo'!$B$18:$D$21,MATCH(B6,'Ficha de Custo'!$A$18:$A$21,1),B7))</f>
        <v>4.5</v>
      </c>
      <c r="C10" s="12" t="s">
        <v>65</v>
      </c>
    </row>
    <row r="11" customFormat="false" ht="15" hidden="false" customHeight="false" outlineLevel="0" collapsed="false">
      <c r="A11" s="10" t="s">
        <v>66</v>
      </c>
      <c r="B11" s="18" t="n">
        <f aca="false">INDEX('Ficha de Custo'!$B$15:$D$15,B7)</f>
        <v>0.2</v>
      </c>
      <c r="C11" s="2"/>
    </row>
    <row r="12" customFormat="false" ht="15" hidden="false" customHeight="false" outlineLevel="0" collapsed="false">
      <c r="A12" s="10" t="s">
        <v>67</v>
      </c>
      <c r="B12" s="18" t="n">
        <f aca="false">IFERROR(INDEX('Ficha de Custo'!$B$24:$B$27,MATCH(B6,'Ficha de Custo'!$A$24:$A$27,0)),INDEX('Ficha de Custo'!$B$24:$B$27,MATCH(B6,'Ficha de Custo'!$A$24:$A$27,1)))</f>
        <v>0.08</v>
      </c>
      <c r="C12" s="2"/>
    </row>
    <row r="13" customFormat="false" ht="15" hidden="false" customHeight="false" outlineLevel="0" collapsed="false">
      <c r="A13" s="10" t="s">
        <v>68</v>
      </c>
      <c r="B13" s="19" t="n">
        <f aca="false">ROUND(B6*B11+B12,2)</f>
        <v>0.68</v>
      </c>
      <c r="C13" s="2"/>
    </row>
    <row r="14" customFormat="false" ht="15" hidden="false" customHeight="false" outlineLevel="0" collapsed="false">
      <c r="A14" s="10" t="s">
        <v>69</v>
      </c>
      <c r="B14" s="20" t="n">
        <f aca="false">MATCH(B13-0.0000001,'Frete 2026'!$A$6:$A$11,1)</f>
        <v>3</v>
      </c>
      <c r="C14" s="2"/>
    </row>
    <row r="15" customFormat="false" ht="15" hidden="false" customHeight="false" outlineLevel="0" collapsed="false">
      <c r="A15" s="6" t="s">
        <v>70</v>
      </c>
      <c r="B15" s="21" t="n">
        <v>169.9</v>
      </c>
      <c r="C15" s="12" t="s">
        <v>71</v>
      </c>
    </row>
    <row r="16" customFormat="false" ht="15" hidden="false" customHeight="false" outlineLevel="0" collapsed="false">
      <c r="A16" s="10" t="s">
        <v>72</v>
      </c>
      <c r="B16" s="22" t="n">
        <f aca="false">B9*B6+B10</f>
        <v>66.06</v>
      </c>
      <c r="C16" s="12" t="s">
        <v>73</v>
      </c>
    </row>
    <row r="17" customFormat="false" ht="15" hidden="false" customHeight="false" outlineLevel="0" collapsed="false">
      <c r="A17" s="10" t="s">
        <v>74</v>
      </c>
      <c r="B17" s="23" t="n">
        <f aca="false">B15/B6</f>
        <v>56.6333333333333</v>
      </c>
      <c r="C17" s="12" t="s">
        <v>75</v>
      </c>
    </row>
    <row r="18" customFormat="false" ht="15" hidden="false" customHeight="false" outlineLevel="0" collapsed="false">
      <c r="A18" s="6" t="s">
        <v>76</v>
      </c>
      <c r="B18" s="24" t="n">
        <v>0.15</v>
      </c>
      <c r="C18" s="12" t="s">
        <v>77</v>
      </c>
    </row>
    <row r="19" customFormat="false" ht="15" hidden="false" customHeight="false" outlineLevel="0" collapsed="false">
      <c r="A19" s="2"/>
      <c r="B19" s="2"/>
      <c r="C19" s="2"/>
    </row>
    <row r="20" customFormat="false" ht="15" hidden="false" customHeight="false" outlineLevel="0" collapsed="false">
      <c r="A20" s="4" t="s">
        <v>78</v>
      </c>
      <c r="B20" s="5"/>
      <c r="C20" s="5"/>
    </row>
    <row r="21" customFormat="false" ht="15" hidden="false" customHeight="false" outlineLevel="0" collapsed="false">
      <c r="A21" s="10" t="s">
        <v>79</v>
      </c>
      <c r="B21" s="25" t="n">
        <v>0.045</v>
      </c>
      <c r="C21" s="12" t="s">
        <v>80</v>
      </c>
    </row>
    <row r="22" customFormat="false" ht="22.35" hidden="false" customHeight="false" outlineLevel="0" collapsed="false">
      <c r="A22" s="10" t="s">
        <v>81</v>
      </c>
      <c r="B22" s="25" t="n">
        <v>0.05</v>
      </c>
      <c r="C22" s="12" t="s">
        <v>82</v>
      </c>
    </row>
    <row r="23" customFormat="false" ht="15" hidden="false" customHeight="false" outlineLevel="0" collapsed="false">
      <c r="A23" s="10" t="s">
        <v>83</v>
      </c>
      <c r="B23" s="26" t="n">
        <v>13000</v>
      </c>
      <c r="C23" s="12" t="s">
        <v>84</v>
      </c>
    </row>
    <row r="24" customFormat="false" ht="15" hidden="false" customHeight="false" outlineLevel="0" collapsed="false">
      <c r="A24" s="2"/>
      <c r="B24" s="2"/>
      <c r="C24" s="2"/>
    </row>
    <row r="25" customFormat="false" ht="15" hidden="false" customHeight="false" outlineLevel="0" collapsed="false">
      <c r="A25" s="4" t="s">
        <v>85</v>
      </c>
      <c r="B25" s="5"/>
      <c r="C25" s="5"/>
    </row>
    <row r="26" customFormat="false" ht="15" hidden="false" customHeight="false" outlineLevel="0" collapsed="false">
      <c r="A26" s="10" t="s">
        <v>86</v>
      </c>
      <c r="B26" s="25" t="n">
        <v>0.14</v>
      </c>
      <c r="C26" s="12" t="s">
        <v>87</v>
      </c>
    </row>
    <row r="27" customFormat="false" ht="15" hidden="false" customHeight="false" outlineLevel="0" collapsed="false">
      <c r="A27" s="10" t="s">
        <v>88</v>
      </c>
      <c r="B27" s="27" t="n">
        <v>0.06</v>
      </c>
      <c r="C27" s="12" t="s">
        <v>89</v>
      </c>
    </row>
    <row r="28" customFormat="false" ht="15" hidden="false" customHeight="false" outlineLevel="0" collapsed="false">
      <c r="A28" s="10" t="s">
        <v>90</v>
      </c>
      <c r="B28" s="28"/>
      <c r="C28" s="12" t="s">
        <v>91</v>
      </c>
    </row>
    <row r="29" customFormat="false" ht="15" hidden="false" customHeight="false" outlineLevel="0" collapsed="false">
      <c r="A29" s="10" t="s">
        <v>92</v>
      </c>
      <c r="B29" s="17" t="n">
        <f aca="false">IF(B15&lt;79,0,IF(ISNUMBER(B28),B28,INDEX('Frete 2026'!$C$6:$G$11,B14,MATCH(B15,'Frete 2026'!$C$5:$G$5,1))))</f>
        <v>20</v>
      </c>
      <c r="C29" s="2"/>
    </row>
    <row r="30" customFormat="false" ht="15" hidden="false" customHeight="false" outlineLevel="0" collapsed="false">
      <c r="A30" s="10" t="s">
        <v>93</v>
      </c>
      <c r="B30" s="28"/>
      <c r="C30" s="12" t="s">
        <v>94</v>
      </c>
    </row>
    <row r="31" customFormat="false" ht="15" hidden="false" customHeight="false" outlineLevel="0" collapsed="false">
      <c r="A31" s="10" t="s">
        <v>95</v>
      </c>
      <c r="B31" s="17" t="n">
        <f aca="false">IF(B15&gt;=79,0,IF(ISNUMBER(B30),B30,INDEX('Frete 2026'!$B$6:$B$11,B14)))</f>
        <v>0</v>
      </c>
      <c r="C31" s="2"/>
    </row>
    <row r="32" customFormat="false" ht="15" hidden="false" customHeight="false" outlineLevel="0" collapsed="false">
      <c r="A32" s="2"/>
      <c r="B32" s="2"/>
      <c r="C32" s="2"/>
    </row>
    <row r="33" customFormat="false" ht="15" hidden="false" customHeight="false" outlineLevel="0" collapsed="false">
      <c r="A33" s="4" t="s">
        <v>96</v>
      </c>
      <c r="B33" s="5"/>
      <c r="C33" s="5"/>
    </row>
    <row r="34" customFormat="false" ht="22.35" hidden="false" customHeight="false" outlineLevel="0" collapsed="false">
      <c r="A34" s="10" t="s">
        <v>97</v>
      </c>
      <c r="B34" s="29" t="n">
        <v>0</v>
      </c>
      <c r="C34" s="12" t="s">
        <v>98</v>
      </c>
    </row>
    <row r="35" customFormat="false" ht="15" hidden="false" customHeight="false" outlineLevel="0" collapsed="false">
      <c r="A35" s="10" t="s">
        <v>99</v>
      </c>
      <c r="B35" s="27" t="n">
        <v>0.08</v>
      </c>
      <c r="C35" s="2"/>
    </row>
    <row r="36" customFormat="false" ht="15" hidden="false" customHeight="false" outlineLevel="0" collapsed="false">
      <c r="A36" s="10" t="s">
        <v>100</v>
      </c>
      <c r="B36" s="27" t="n">
        <v>0</v>
      </c>
      <c r="C36" s="12" t="s">
        <v>101</v>
      </c>
    </row>
    <row r="37" customFormat="false" ht="15" hidden="false" customHeight="false" outlineLevel="0" collapsed="false">
      <c r="A37" s="2"/>
      <c r="B37" s="2"/>
      <c r="C37" s="2"/>
    </row>
    <row r="38" customFormat="false" ht="15" hidden="false" customHeight="false" outlineLevel="0" collapsed="false">
      <c r="A38" s="4" t="s">
        <v>102</v>
      </c>
      <c r="B38" s="5"/>
      <c r="C38" s="5"/>
    </row>
    <row r="39" customFormat="false" ht="15" hidden="false" customHeight="false" outlineLevel="0" collapsed="false">
      <c r="A39" s="10" t="s">
        <v>103</v>
      </c>
      <c r="B39" s="27" t="n">
        <v>0.06</v>
      </c>
      <c r="C39" s="12" t="s">
        <v>104</v>
      </c>
    </row>
    <row r="40" customFormat="false" ht="15" hidden="false" customHeight="false" outlineLevel="0" collapsed="false">
      <c r="A40" s="10" t="s">
        <v>105</v>
      </c>
      <c r="B40" s="25" t="n">
        <v>0.15</v>
      </c>
      <c r="C40" s="12" t="s">
        <v>106</v>
      </c>
    </row>
    <row r="41" customFormat="false" ht="15" hidden="false" customHeight="false" outlineLevel="0" collapsed="false">
      <c r="A41" s="10" t="s">
        <v>107</v>
      </c>
      <c r="B41" s="27" t="n">
        <v>0.05</v>
      </c>
      <c r="C41" s="2"/>
    </row>
    <row r="42" customFormat="false" ht="15" hidden="false" customHeight="false" outlineLevel="0" collapsed="false">
      <c r="A42" s="2"/>
      <c r="B42" s="2"/>
      <c r="C42" s="2"/>
    </row>
    <row r="43" customFormat="false" ht="15" hidden="false" customHeight="false" outlineLevel="0" collapsed="false">
      <c r="A43" s="4" t="s">
        <v>108</v>
      </c>
      <c r="B43" s="5"/>
      <c r="C43" s="5"/>
    </row>
    <row r="44" customFormat="false" ht="15" hidden="false" customHeight="false" outlineLevel="0" collapsed="false">
      <c r="A44" s="10" t="s">
        <v>109</v>
      </c>
      <c r="B44" s="27" t="n">
        <v>0.0499</v>
      </c>
      <c r="C44" s="12" t="s">
        <v>110</v>
      </c>
    </row>
    <row r="45" customFormat="false" ht="15" hidden="false" customHeight="false" outlineLevel="0" collapsed="false">
      <c r="A45" s="10" t="s">
        <v>111</v>
      </c>
      <c r="B45" s="29" t="n">
        <v>0.39</v>
      </c>
      <c r="C45" s="2"/>
    </row>
    <row r="46" customFormat="false" ht="15" hidden="false" customHeight="false" outlineLevel="0" collapsed="false">
      <c r="A46" s="10" t="s">
        <v>90</v>
      </c>
      <c r="B46" s="28"/>
      <c r="C46" s="12" t="s">
        <v>112</v>
      </c>
    </row>
    <row r="47" customFormat="false" ht="15" hidden="false" customHeight="false" outlineLevel="0" collapsed="false">
      <c r="A47" s="10" t="s">
        <v>113</v>
      </c>
      <c r="B47" s="17" t="n">
        <f aca="false">IF(ISNUMBER(B46),B46,INDEX('Frete 2026'!$H$6:$H$11,B14))</f>
        <v>19</v>
      </c>
      <c r="C47" s="2"/>
    </row>
    <row r="48" customFormat="false" ht="15" hidden="false" customHeight="false" outlineLevel="0" collapsed="false">
      <c r="A48" s="10" t="s">
        <v>114</v>
      </c>
      <c r="B48" s="29" t="n">
        <v>1.57</v>
      </c>
      <c r="C48" s="12" t="s">
        <v>115</v>
      </c>
    </row>
    <row r="49" customFormat="false" ht="15" hidden="false" customHeight="false" outlineLevel="0" collapsed="false">
      <c r="A49" s="10" t="s">
        <v>116</v>
      </c>
      <c r="B49" s="30" t="n">
        <v>3</v>
      </c>
      <c r="C49" s="12" t="s">
        <v>117</v>
      </c>
    </row>
  </sheetData>
  <dataValidations count="2">
    <dataValidation allowBlank="false" errorStyle="stop" operator="between" showDropDown="false" showErrorMessage="false" showInputMessage="false" sqref="B5" type="list">
      <formula1>"Popular,Essencial,Fibra Longa"</formula1>
      <formula2>0</formula2>
    </dataValidation>
    <dataValidation allowBlank="false" errorStyle="stop" operator="between" showDropDown="false" showErrorMessage="false" showInputMessage="false" sqref="B6" type="list">
      <formula1>"1,3,5,10"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Kits de camisetas · Rev. 02 · Blumenau, outubro de 2026&amp;R&amp;8 &amp;A ·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118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119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1" t="s">
        <v>120</v>
      </c>
      <c r="B4" s="32" t="s">
        <v>121</v>
      </c>
      <c r="C4" s="32" t="s">
        <v>56</v>
      </c>
      <c r="D4" s="32" t="s">
        <v>122</v>
      </c>
      <c r="E4" s="32" t="s">
        <v>123</v>
      </c>
    </row>
    <row r="5" customFormat="false" ht="30" hidden="false" customHeight="true" outlineLevel="0" collapsed="false">
      <c r="A5" s="10" t="s">
        <v>124</v>
      </c>
      <c r="B5" s="7" t="s">
        <v>125</v>
      </c>
      <c r="C5" s="7" t="s">
        <v>126</v>
      </c>
      <c r="D5" s="7" t="s">
        <v>127</v>
      </c>
      <c r="E5" s="2"/>
    </row>
    <row r="6" customFormat="false" ht="22.35" hidden="false" customHeight="false" outlineLevel="0" collapsed="false">
      <c r="A6" s="10" t="s">
        <v>128</v>
      </c>
      <c r="B6" s="33" t="n">
        <v>0.175</v>
      </c>
      <c r="C6" s="33" t="n">
        <v>0.215</v>
      </c>
      <c r="D6" s="33" t="n">
        <v>0.2</v>
      </c>
      <c r="E6" s="12" t="s">
        <v>129</v>
      </c>
    </row>
    <row r="7" customFormat="false" ht="22.35" hidden="false" customHeight="false" outlineLevel="0" collapsed="false">
      <c r="A7" s="10" t="s">
        <v>130</v>
      </c>
      <c r="B7" s="21" t="n">
        <v>27</v>
      </c>
      <c r="C7" s="21" t="n">
        <v>48</v>
      </c>
      <c r="D7" s="21" t="n">
        <v>88</v>
      </c>
      <c r="E7" s="12" t="s">
        <v>131</v>
      </c>
    </row>
    <row r="8" customFormat="false" ht="15" hidden="false" customHeight="false" outlineLevel="0" collapsed="false">
      <c r="A8" s="10" t="s">
        <v>132</v>
      </c>
      <c r="B8" s="23" t="n">
        <f aca="false">B6*B7</f>
        <v>4.725</v>
      </c>
      <c r="C8" s="23" t="n">
        <f aca="false">C6*C7</f>
        <v>10.32</v>
      </c>
      <c r="D8" s="23" t="n">
        <f aca="false">D6*D7</f>
        <v>17.6</v>
      </c>
      <c r="E8" s="12" t="s">
        <v>133</v>
      </c>
    </row>
    <row r="9" customFormat="false" ht="15" hidden="false" customHeight="false" outlineLevel="0" collapsed="false">
      <c r="A9" s="10" t="s">
        <v>134</v>
      </c>
      <c r="B9" s="29" t="n">
        <v>0.9</v>
      </c>
      <c r="C9" s="29" t="n">
        <v>1.8</v>
      </c>
      <c r="D9" s="29" t="n">
        <v>2.6</v>
      </c>
      <c r="E9" s="12" t="s">
        <v>135</v>
      </c>
    </row>
    <row r="10" customFormat="false" ht="15" hidden="false" customHeight="false" outlineLevel="0" collapsed="false">
      <c r="A10" s="10" t="s">
        <v>136</v>
      </c>
      <c r="B10" s="21" t="n">
        <v>4.2</v>
      </c>
      <c r="C10" s="21" t="n">
        <v>7.2</v>
      </c>
      <c r="D10" s="21" t="n">
        <v>9.5</v>
      </c>
      <c r="E10" s="12" t="s">
        <v>137</v>
      </c>
    </row>
    <row r="11" customFormat="false" ht="22.35" hidden="false" customHeight="false" outlineLevel="0" collapsed="false">
      <c r="A11" s="10" t="s">
        <v>138</v>
      </c>
      <c r="B11" s="29" t="n">
        <v>0.3</v>
      </c>
      <c r="C11" s="29" t="n">
        <v>0.6</v>
      </c>
      <c r="D11" s="29" t="n">
        <v>1.2</v>
      </c>
      <c r="E11" s="12" t="s">
        <v>139</v>
      </c>
    </row>
    <row r="12" customFormat="false" ht="15" hidden="false" customHeight="false" outlineLevel="0" collapsed="false">
      <c r="A12" s="10" t="s">
        <v>140</v>
      </c>
      <c r="B12" s="34" t="n">
        <v>0.03</v>
      </c>
      <c r="C12" s="34" t="n">
        <v>0.03</v>
      </c>
      <c r="D12" s="34" t="n">
        <v>0.03</v>
      </c>
      <c r="E12" s="12" t="s">
        <v>141</v>
      </c>
    </row>
    <row r="13" customFormat="false" ht="15" hidden="false" customHeight="false" outlineLevel="0" collapsed="false">
      <c r="A13" s="10" t="s">
        <v>142</v>
      </c>
      <c r="B13" s="23" t="n">
        <f aca="false">SUM(B8:B11)*B12</f>
        <v>0.30375</v>
      </c>
      <c r="C13" s="23" t="n">
        <f aca="false">SUM(C8:C11)*C12</f>
        <v>0.5976</v>
      </c>
      <c r="D13" s="23" t="n">
        <f aca="false">SUM(D8:D11)*D12</f>
        <v>0.927</v>
      </c>
      <c r="E13" s="2"/>
    </row>
    <row r="14" customFormat="false" ht="15" hidden="false" customHeight="false" outlineLevel="0" collapsed="false">
      <c r="A14" s="6" t="s">
        <v>143</v>
      </c>
      <c r="B14" s="16" t="n">
        <f aca="false">ROUND(SUM(B8:B11)+B13,2)</f>
        <v>10.43</v>
      </c>
      <c r="C14" s="16" t="n">
        <f aca="false">ROUND(SUM(C8:C11)+C13,2)</f>
        <v>20.52</v>
      </c>
      <c r="D14" s="16" t="n">
        <f aca="false">ROUND(SUM(D8:D11)+D13,2)</f>
        <v>31.83</v>
      </c>
      <c r="E14" s="12" t="s">
        <v>144</v>
      </c>
    </row>
    <row r="15" customFormat="false" ht="15" hidden="false" customHeight="false" outlineLevel="0" collapsed="false">
      <c r="A15" s="10" t="s">
        <v>145</v>
      </c>
      <c r="B15" s="35" t="n">
        <v>0.16</v>
      </c>
      <c r="C15" s="35" t="n">
        <v>0.2</v>
      </c>
      <c r="D15" s="35" t="n">
        <v>0.19</v>
      </c>
      <c r="E15" s="12" t="s">
        <v>146</v>
      </c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15" hidden="false" customHeight="false" outlineLevel="0" collapsed="false">
      <c r="A17" s="4" t="s">
        <v>147</v>
      </c>
      <c r="B17" s="5"/>
      <c r="C17" s="5"/>
      <c r="D17" s="5"/>
      <c r="E17" s="5"/>
    </row>
    <row r="18" customFormat="false" ht="22.35" hidden="false" customHeight="false" outlineLevel="0" collapsed="false">
      <c r="A18" s="36" t="n">
        <v>1</v>
      </c>
      <c r="B18" s="29" t="n">
        <v>0.5</v>
      </c>
      <c r="C18" s="29" t="n">
        <v>1.5</v>
      </c>
      <c r="D18" s="29" t="n">
        <v>2.9</v>
      </c>
      <c r="E18" s="12" t="s">
        <v>148</v>
      </c>
    </row>
    <row r="19" customFormat="false" ht="15" hidden="false" customHeight="false" outlineLevel="0" collapsed="false">
      <c r="A19" s="36" t="n">
        <v>3</v>
      </c>
      <c r="B19" s="29" t="n">
        <v>0.9</v>
      </c>
      <c r="C19" s="29" t="n">
        <v>4.5</v>
      </c>
      <c r="D19" s="29" t="n">
        <v>7</v>
      </c>
      <c r="E19" s="2"/>
    </row>
    <row r="20" customFormat="false" ht="15" hidden="false" customHeight="false" outlineLevel="0" collapsed="false">
      <c r="A20" s="36" t="n">
        <v>5</v>
      </c>
      <c r="B20" s="29" t="n">
        <v>1.1</v>
      </c>
      <c r="C20" s="29" t="n">
        <v>5.5</v>
      </c>
      <c r="D20" s="29" t="n">
        <v>9</v>
      </c>
      <c r="E20" s="2"/>
    </row>
    <row r="21" customFormat="false" ht="15" hidden="false" customHeight="false" outlineLevel="0" collapsed="false">
      <c r="A21" s="36" t="n">
        <v>10</v>
      </c>
      <c r="B21" s="29" t="n">
        <v>1.6</v>
      </c>
      <c r="C21" s="29" t="n">
        <v>7.5</v>
      </c>
      <c r="D21" s="29" t="n">
        <v>12</v>
      </c>
      <c r="E21" s="2"/>
    </row>
    <row r="22" customFormat="false" ht="15" hidden="false" customHeight="false" outlineLevel="0" collapsed="false">
      <c r="A22" s="2"/>
      <c r="B22" s="2"/>
      <c r="C22" s="2"/>
      <c r="D22" s="2"/>
      <c r="E22" s="2"/>
    </row>
    <row r="23" customFormat="false" ht="15" hidden="false" customHeight="false" outlineLevel="0" collapsed="false">
      <c r="A23" s="4" t="s">
        <v>149</v>
      </c>
      <c r="B23" s="5"/>
      <c r="C23" s="5"/>
      <c r="D23" s="5"/>
      <c r="E23" s="5"/>
    </row>
    <row r="24" customFormat="false" ht="15" hidden="false" customHeight="false" outlineLevel="0" collapsed="false">
      <c r="A24" s="36" t="n">
        <v>1</v>
      </c>
      <c r="B24" s="35" t="n">
        <v>0.03</v>
      </c>
      <c r="C24" s="2"/>
      <c r="D24" s="2"/>
      <c r="E24" s="2"/>
    </row>
    <row r="25" customFormat="false" ht="15" hidden="false" customHeight="false" outlineLevel="0" collapsed="false">
      <c r="A25" s="36" t="n">
        <v>3</v>
      </c>
      <c r="B25" s="35" t="n">
        <v>0.08</v>
      </c>
      <c r="C25" s="2"/>
      <c r="D25" s="2"/>
      <c r="E25" s="2"/>
    </row>
    <row r="26" customFormat="false" ht="15" hidden="false" customHeight="false" outlineLevel="0" collapsed="false">
      <c r="A26" s="36" t="n">
        <v>5</v>
      </c>
      <c r="B26" s="35" t="n">
        <v>0.1</v>
      </c>
      <c r="C26" s="2"/>
      <c r="D26" s="2"/>
      <c r="E26" s="2"/>
    </row>
    <row r="27" customFormat="false" ht="15" hidden="false" customHeight="false" outlineLevel="0" collapsed="false">
      <c r="A27" s="36" t="n">
        <v>10</v>
      </c>
      <c r="B27" s="35" t="n">
        <v>0.14</v>
      </c>
      <c r="C27" s="2"/>
      <c r="D27" s="2"/>
      <c r="E27" s="2"/>
    </row>
    <row r="28" customFormat="false" ht="15" hidden="false" customHeight="false" outlineLevel="0" collapsed="false">
      <c r="A28" s="2"/>
      <c r="B28" s="2"/>
      <c r="C28" s="2"/>
      <c r="D28" s="2"/>
      <c r="E28" s="2"/>
    </row>
    <row r="29" customFormat="false" ht="15" hidden="false" customHeight="false" outlineLevel="0" collapsed="false">
      <c r="A29" s="4" t="s">
        <v>150</v>
      </c>
      <c r="B29" s="5"/>
      <c r="C29" s="5"/>
      <c r="D29" s="5"/>
      <c r="E29" s="5"/>
    </row>
    <row r="30" customFormat="false" ht="15" hidden="false" customHeight="false" outlineLevel="0" collapsed="false">
      <c r="A30" s="37" t="n">
        <f aca="false">A18</f>
        <v>1</v>
      </c>
      <c r="B30" s="23" t="n">
        <f aca="false">$A30*B$14+B18</f>
        <v>10.93</v>
      </c>
      <c r="C30" s="23" t="n">
        <f aca="false">$A30*C$14+C18</f>
        <v>22.02</v>
      </c>
      <c r="D30" s="23" t="n">
        <f aca="false">$A30*D$14+D18</f>
        <v>34.73</v>
      </c>
      <c r="E30" s="2"/>
    </row>
    <row r="31" customFormat="false" ht="15" hidden="false" customHeight="false" outlineLevel="0" collapsed="false">
      <c r="A31" s="37" t="n">
        <f aca="false">A19</f>
        <v>3</v>
      </c>
      <c r="B31" s="23" t="n">
        <f aca="false">$A31*B$14+B19</f>
        <v>32.19</v>
      </c>
      <c r="C31" s="23" t="n">
        <f aca="false">$A31*C$14+C19</f>
        <v>66.06</v>
      </c>
      <c r="D31" s="23" t="n">
        <f aca="false">$A31*D$14+D19</f>
        <v>102.49</v>
      </c>
      <c r="E31" s="2"/>
    </row>
    <row r="32" customFormat="false" ht="15" hidden="false" customHeight="false" outlineLevel="0" collapsed="false">
      <c r="A32" s="37" t="n">
        <f aca="false">A20</f>
        <v>5</v>
      </c>
      <c r="B32" s="23" t="n">
        <f aca="false">$A32*B$14+B20</f>
        <v>53.25</v>
      </c>
      <c r="C32" s="23" t="n">
        <f aca="false">$A32*C$14+C20</f>
        <v>108.1</v>
      </c>
      <c r="D32" s="23" t="n">
        <f aca="false">$A32*D$14+D20</f>
        <v>168.15</v>
      </c>
      <c r="E32" s="2"/>
    </row>
    <row r="33" customFormat="false" ht="15" hidden="false" customHeight="false" outlineLevel="0" collapsed="false">
      <c r="A33" s="37" t="n">
        <f aca="false">A21</f>
        <v>10</v>
      </c>
      <c r="B33" s="23" t="n">
        <f aca="false">$A33*B$14+B21</f>
        <v>105.9</v>
      </c>
      <c r="C33" s="23" t="n">
        <f aca="false">$A33*C$14+C21</f>
        <v>212.7</v>
      </c>
      <c r="D33" s="23" t="n">
        <f aca="false">$A33*D$14+D21</f>
        <v>330.3</v>
      </c>
      <c r="E33" s="2"/>
    </row>
    <row r="34" customFormat="false" ht="15" hidden="false" customHeight="false" outlineLevel="0" collapsed="false">
      <c r="A34" s="2"/>
      <c r="B34" s="2"/>
      <c r="C34" s="2"/>
      <c r="D34" s="2"/>
      <c r="E34" s="2"/>
    </row>
    <row r="35" customFormat="false" ht="15" hidden="false" customHeight="false" outlineLevel="0" collapsed="false">
      <c r="A35" s="4" t="s">
        <v>151</v>
      </c>
      <c r="B35" s="5"/>
      <c r="C35" s="5"/>
      <c r="D35" s="5"/>
      <c r="E35" s="5"/>
    </row>
    <row r="36" customFormat="false" ht="15" hidden="false" customHeight="false" outlineLevel="0" collapsed="false">
      <c r="A36" s="37" t="n">
        <f aca="false">A18</f>
        <v>1</v>
      </c>
      <c r="B36" s="19" t="n">
        <f aca="false">ROUND($A36*B$15+$B$24,2)</f>
        <v>0.19</v>
      </c>
      <c r="C36" s="19" t="n">
        <f aca="false">ROUND($A36*C$15+$B$24,2)</f>
        <v>0.23</v>
      </c>
      <c r="D36" s="19" t="n">
        <f aca="false">ROUND($A36*D$15+$B$24,2)</f>
        <v>0.22</v>
      </c>
      <c r="E36" s="2"/>
    </row>
    <row r="37" customFormat="false" ht="15" hidden="false" customHeight="false" outlineLevel="0" collapsed="false">
      <c r="A37" s="37" t="n">
        <f aca="false">A19</f>
        <v>3</v>
      </c>
      <c r="B37" s="19" t="n">
        <f aca="false">ROUND($A37*B$15+$B$25,2)</f>
        <v>0.56</v>
      </c>
      <c r="C37" s="19" t="n">
        <f aca="false">ROUND($A37*C$15+$B$25,2)</f>
        <v>0.68</v>
      </c>
      <c r="D37" s="19" t="n">
        <f aca="false">ROUND($A37*D$15+$B$25,2)</f>
        <v>0.65</v>
      </c>
      <c r="E37" s="2"/>
    </row>
    <row r="38" customFormat="false" ht="15" hidden="false" customHeight="false" outlineLevel="0" collapsed="false">
      <c r="A38" s="37" t="n">
        <f aca="false">A20</f>
        <v>5</v>
      </c>
      <c r="B38" s="19" t="n">
        <f aca="false">ROUND($A38*B$15+$B$26,2)</f>
        <v>0.9</v>
      </c>
      <c r="C38" s="19" t="n">
        <f aca="false">ROUND($A38*C$15+$B$26,2)</f>
        <v>1.1</v>
      </c>
      <c r="D38" s="19" t="n">
        <f aca="false">ROUND($A38*D$15+$B$26,2)</f>
        <v>1.05</v>
      </c>
      <c r="E38" s="2"/>
    </row>
    <row r="39" customFormat="false" ht="15" hidden="false" customHeight="false" outlineLevel="0" collapsed="false">
      <c r="A39" s="37" t="n">
        <f aca="false">A21</f>
        <v>10</v>
      </c>
      <c r="B39" s="19" t="n">
        <f aca="false">ROUND($A39*B$15+$B$27,2)</f>
        <v>1.74</v>
      </c>
      <c r="C39" s="19" t="n">
        <f aca="false">ROUND($A39*C$15+$B$27,2)</f>
        <v>2.14</v>
      </c>
      <c r="D39" s="19" t="n">
        <f aca="false">ROUND($A39*D$15+$B$27,2)</f>
        <v>2.04</v>
      </c>
      <c r="E39" s="2"/>
    </row>
    <row r="40" customFormat="false" ht="15" hidden="false" customHeight="false" outlineLevel="0" collapsed="false">
      <c r="A40" s="2"/>
      <c r="B40" s="2"/>
      <c r="C40" s="2"/>
      <c r="D40" s="2"/>
      <c r="E40" s="2"/>
    </row>
    <row r="41" customFormat="false" ht="30" hidden="false" customHeight="true" outlineLevel="0" collapsed="false">
      <c r="A41" s="38" t="s">
        <v>152</v>
      </c>
      <c r="B41" s="38"/>
      <c r="C41" s="38"/>
      <c r="D41" s="38"/>
      <c r="E41" s="38"/>
    </row>
    <row r="42" customFormat="false" ht="30" hidden="false" customHeight="true" outlineLevel="0" collapsed="false">
      <c r="A42" s="38" t="s">
        <v>153</v>
      </c>
      <c r="B42" s="38"/>
      <c r="C42" s="38"/>
      <c r="D42" s="38"/>
      <c r="E42" s="38"/>
    </row>
  </sheetData>
  <mergeCells count="2">
    <mergeCell ref="A41:E41"/>
    <mergeCell ref="A42:E42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Kits de camisetas · Rev. 02 · Blumenau, outubro de 2026&amp;R&amp;8 &amp;A ·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7" min="3" style="0" width="14"/>
    <col collapsed="false" customWidth="true" hidden="false" outlineLevel="0" max="9" min="8" style="0" width="16"/>
  </cols>
  <sheetData>
    <row r="1" customFormat="false" ht="17.35" hidden="false" customHeight="false" outlineLevel="0" collapsed="false">
      <c r="A1" s="1" t="s">
        <v>154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155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43.5" hidden="false" customHeight="true" outlineLevel="0" collapsed="false">
      <c r="A4" s="31" t="s">
        <v>156</v>
      </c>
      <c r="B4" s="32" t="s">
        <v>157</v>
      </c>
      <c r="C4" s="32" t="s">
        <v>158</v>
      </c>
      <c r="D4" s="32" t="s">
        <v>159</v>
      </c>
      <c r="E4" s="32" t="s">
        <v>160</v>
      </c>
      <c r="F4" s="32" t="s">
        <v>161</v>
      </c>
      <c r="G4" s="32" t="s">
        <v>162</v>
      </c>
      <c r="H4" s="32" t="s">
        <v>163</v>
      </c>
      <c r="I4" s="32" t="s">
        <v>164</v>
      </c>
    </row>
    <row r="5" customFormat="false" ht="15" hidden="false" customHeight="false" outlineLevel="0" collapsed="false">
      <c r="A5" s="6" t="s">
        <v>165</v>
      </c>
      <c r="B5" s="2"/>
      <c r="C5" s="26" t="n">
        <v>79</v>
      </c>
      <c r="D5" s="26" t="n">
        <v>100</v>
      </c>
      <c r="E5" s="26" t="n">
        <v>120</v>
      </c>
      <c r="F5" s="26" t="n">
        <v>150</v>
      </c>
      <c r="G5" s="26" t="n">
        <v>200</v>
      </c>
      <c r="H5" s="2"/>
      <c r="I5" s="2"/>
    </row>
    <row r="6" customFormat="false" ht="15" hidden="false" customHeight="false" outlineLevel="0" collapsed="false">
      <c r="A6" s="39" t="n">
        <v>0</v>
      </c>
      <c r="B6" s="29" t="n">
        <v>6.5</v>
      </c>
      <c r="C6" s="40" t="n">
        <v>12.35</v>
      </c>
      <c r="D6" s="29" t="n">
        <v>14.5</v>
      </c>
      <c r="E6" s="29" t="n">
        <v>16.65</v>
      </c>
      <c r="F6" s="29" t="n">
        <v>18.8</v>
      </c>
      <c r="G6" s="40" t="n">
        <v>20.95</v>
      </c>
      <c r="H6" s="29" t="n">
        <v>16</v>
      </c>
      <c r="I6" s="10" t="s">
        <v>166</v>
      </c>
    </row>
    <row r="7" customFormat="false" ht="15" hidden="false" customHeight="false" outlineLevel="0" collapsed="false">
      <c r="A7" s="39" t="n">
        <v>0.3</v>
      </c>
      <c r="B7" s="29" t="n">
        <v>6.75</v>
      </c>
      <c r="C7" s="29" t="n">
        <v>12.95</v>
      </c>
      <c r="D7" s="29" t="n">
        <v>15.1</v>
      </c>
      <c r="E7" s="29" t="n">
        <v>17.25</v>
      </c>
      <c r="F7" s="29" t="n">
        <v>19.4</v>
      </c>
      <c r="G7" s="29" t="n">
        <v>21.55</v>
      </c>
      <c r="H7" s="29" t="n">
        <v>17.5</v>
      </c>
      <c r="I7" s="10" t="s">
        <v>167</v>
      </c>
    </row>
    <row r="8" customFormat="false" ht="15" hidden="false" customHeight="false" outlineLevel="0" collapsed="false">
      <c r="A8" s="39" t="n">
        <v>0.5</v>
      </c>
      <c r="B8" s="29" t="n">
        <v>7</v>
      </c>
      <c r="C8" s="29" t="n">
        <v>13.55</v>
      </c>
      <c r="D8" s="29" t="n">
        <v>15.7</v>
      </c>
      <c r="E8" s="29" t="n">
        <v>17.85</v>
      </c>
      <c r="F8" s="29" t="n">
        <v>20</v>
      </c>
      <c r="G8" s="29" t="n">
        <v>22.15</v>
      </c>
      <c r="H8" s="29" t="n">
        <v>19</v>
      </c>
      <c r="I8" s="10" t="s">
        <v>168</v>
      </c>
    </row>
    <row r="9" customFormat="false" ht="15" hidden="false" customHeight="false" outlineLevel="0" collapsed="false">
      <c r="A9" s="39" t="n">
        <v>1</v>
      </c>
      <c r="B9" s="29" t="n">
        <v>7.25</v>
      </c>
      <c r="C9" s="29" t="n">
        <v>16.05</v>
      </c>
      <c r="D9" s="29" t="n">
        <v>18.2</v>
      </c>
      <c r="E9" s="29" t="n">
        <v>20.35</v>
      </c>
      <c r="F9" s="29" t="n">
        <v>22.5</v>
      </c>
      <c r="G9" s="40" t="n">
        <v>24.65</v>
      </c>
      <c r="H9" s="29" t="n">
        <v>22</v>
      </c>
      <c r="I9" s="10" t="s">
        <v>169</v>
      </c>
    </row>
    <row r="10" customFormat="false" ht="15" hidden="false" customHeight="false" outlineLevel="0" collapsed="false">
      <c r="A10" s="39" t="n">
        <v>1.5</v>
      </c>
      <c r="B10" s="29" t="n">
        <v>7.5</v>
      </c>
      <c r="C10" s="29" t="n">
        <v>16.05</v>
      </c>
      <c r="D10" s="29" t="n">
        <v>18.2</v>
      </c>
      <c r="E10" s="29" t="n">
        <v>20.35</v>
      </c>
      <c r="F10" s="29" t="n">
        <v>22.5</v>
      </c>
      <c r="G10" s="40" t="n">
        <v>24.65</v>
      </c>
      <c r="H10" s="29" t="n">
        <v>25</v>
      </c>
      <c r="I10" s="10" t="s">
        <v>170</v>
      </c>
    </row>
    <row r="11" customFormat="false" ht="15" hidden="false" customHeight="false" outlineLevel="0" collapsed="false">
      <c r="A11" s="39" t="n">
        <v>2</v>
      </c>
      <c r="B11" s="29" t="n">
        <v>8</v>
      </c>
      <c r="C11" s="29" t="n">
        <v>16.75</v>
      </c>
      <c r="D11" s="29" t="n">
        <v>18.9</v>
      </c>
      <c r="E11" s="40" t="n">
        <v>21.05</v>
      </c>
      <c r="F11" s="29" t="n">
        <v>23.2</v>
      </c>
      <c r="G11" s="29" t="n">
        <v>25.35</v>
      </c>
      <c r="H11" s="29" t="n">
        <v>29</v>
      </c>
      <c r="I11" s="10" t="s">
        <v>171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43.5" hidden="false" customHeight="true" outlineLevel="0" collapsed="false">
      <c r="A13" s="38" t="s">
        <v>172</v>
      </c>
      <c r="B13" s="38"/>
      <c r="C13" s="38"/>
      <c r="D13" s="38"/>
      <c r="E13" s="38"/>
      <c r="F13" s="38"/>
      <c r="G13" s="38"/>
      <c r="H13" s="38"/>
      <c r="I13" s="38"/>
    </row>
    <row r="14" customFormat="false" ht="43.5" hidden="false" customHeight="true" outlineLevel="0" collapsed="false">
      <c r="A14" s="38" t="s">
        <v>173</v>
      </c>
      <c r="B14" s="38"/>
      <c r="C14" s="38"/>
      <c r="D14" s="38"/>
      <c r="E14" s="38"/>
      <c r="F14" s="38"/>
      <c r="G14" s="38"/>
      <c r="H14" s="38"/>
      <c r="I14" s="38"/>
    </row>
    <row r="15" customFormat="false" ht="19.5" hidden="false" customHeight="true" outlineLevel="0" collapsed="false">
      <c r="A15" s="38" t="s">
        <v>174</v>
      </c>
      <c r="B15" s="38"/>
      <c r="C15" s="38"/>
      <c r="D15" s="38"/>
      <c r="E15" s="38"/>
      <c r="F15" s="38"/>
      <c r="G15" s="38"/>
      <c r="H15" s="38"/>
      <c r="I15" s="38"/>
    </row>
  </sheetData>
  <mergeCells count="3">
    <mergeCell ref="A13:I13"/>
    <mergeCell ref="A14:I14"/>
    <mergeCell ref="A15:I15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Kits de camisetas · Rev. 02 · Blumenau, outubro de 2026&amp;R&amp;8 &amp;A · 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7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175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176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1" t="s">
        <v>177</v>
      </c>
      <c r="B4" s="32" t="s">
        <v>178</v>
      </c>
      <c r="C4" s="32" t="s">
        <v>179</v>
      </c>
      <c r="D4" s="32" t="s">
        <v>180</v>
      </c>
      <c r="E4" s="32" t="s">
        <v>181</v>
      </c>
      <c r="F4" s="32" t="s">
        <v>182</v>
      </c>
    </row>
    <row r="5" customFormat="false" ht="15" hidden="false" customHeight="false" outlineLevel="0" collapsed="false">
      <c r="A5" s="6" t="s">
        <v>183</v>
      </c>
      <c r="B5" s="17" t="n">
        <f aca="false">Premissas!$B$15</f>
        <v>169.9</v>
      </c>
      <c r="C5" s="17" t="n">
        <f aca="false">Premissas!$B$15</f>
        <v>169.9</v>
      </c>
      <c r="D5" s="17" t="n">
        <f aca="false">Premissas!$B$15</f>
        <v>169.9</v>
      </c>
      <c r="E5" s="17" t="n">
        <f aca="false">Premissas!$B$15</f>
        <v>169.9</v>
      </c>
      <c r="F5" s="12" t="s">
        <v>184</v>
      </c>
    </row>
    <row r="6" customFormat="false" ht="15" hidden="false" customHeight="false" outlineLevel="0" collapsed="false">
      <c r="A6" s="10" t="s">
        <v>185</v>
      </c>
      <c r="B6" s="41" t="n">
        <f aca="false">Premissas!$B$26</f>
        <v>0.14</v>
      </c>
      <c r="C6" s="42" t="n">
        <f aca="false">INDEX('Taxas 2026'!$C$15:$C$19,MATCH(C5,'Taxas 2026'!$B$15:$B$19,1))+Premissas!$B$36</f>
        <v>0.14</v>
      </c>
      <c r="D6" s="42" t="n">
        <f aca="false">INDEX('Taxas 2026'!$C$24:$C$25,MATCH(D5,'Taxas 2026'!$B$24:$B$25,1))</f>
        <v>0.06</v>
      </c>
      <c r="E6" s="41" t="n">
        <f aca="false">Premissas!$B$44</f>
        <v>0.0499</v>
      </c>
      <c r="F6" s="12" t="s">
        <v>186</v>
      </c>
    </row>
    <row r="7" customFormat="false" ht="15" hidden="false" customHeight="false" outlineLevel="0" collapsed="false">
      <c r="A7" s="10" t="s">
        <v>187</v>
      </c>
      <c r="B7" s="23" t="n">
        <f aca="false">B5*B6</f>
        <v>23.786</v>
      </c>
      <c r="C7" s="23" t="n">
        <f aca="false">C5*C6</f>
        <v>23.786</v>
      </c>
      <c r="D7" s="23" t="n">
        <f aca="false">D5*D6</f>
        <v>10.194</v>
      </c>
      <c r="E7" s="23" t="n">
        <f aca="false">E5*E6+Premissas!$B$45</f>
        <v>8.86801</v>
      </c>
      <c r="F7" s="12" t="s">
        <v>188</v>
      </c>
    </row>
    <row r="8" customFormat="false" ht="22.35" hidden="false" customHeight="false" outlineLevel="0" collapsed="false">
      <c r="A8" s="10" t="s">
        <v>189</v>
      </c>
      <c r="B8" s="17" t="n">
        <f aca="false">Premissas!$B$31</f>
        <v>0</v>
      </c>
      <c r="C8" s="23" t="n">
        <f aca="false">INDEX('Taxas 2026'!$D$15:$D$19,MATCH(C5,'Taxas 2026'!$B$15:$B$19,1))</f>
        <v>20</v>
      </c>
      <c r="D8" s="23" t="n">
        <f aca="false">INDEX('Taxas 2026'!$D$24:$D$25,MATCH(D5,'Taxas 2026'!$B$24:$B$25,1))</f>
        <v>6</v>
      </c>
      <c r="E8" s="17" t="n">
        <f aca="false">Premissas!$B$48</f>
        <v>1.57</v>
      </c>
      <c r="F8" s="12" t="s">
        <v>190</v>
      </c>
    </row>
    <row r="9" customFormat="false" ht="22.35" hidden="false" customHeight="false" outlineLevel="0" collapsed="false">
      <c r="A9" s="10" t="s">
        <v>191</v>
      </c>
      <c r="B9" s="17" t="n">
        <f aca="false">Premissas!$B$29</f>
        <v>20</v>
      </c>
      <c r="C9" s="17" t="n">
        <f aca="false">Premissas!$B$34</f>
        <v>0</v>
      </c>
      <c r="D9" s="23" t="n">
        <f aca="false">D5*Premissas!$B$39</f>
        <v>10.194</v>
      </c>
      <c r="E9" s="17" t="n">
        <f aca="false">Premissas!$B$47</f>
        <v>19</v>
      </c>
      <c r="F9" s="12" t="s">
        <v>192</v>
      </c>
    </row>
    <row r="10" customFormat="false" ht="15" hidden="false" customHeight="false" outlineLevel="0" collapsed="false">
      <c r="A10" s="10" t="s">
        <v>193</v>
      </c>
      <c r="B10" s="23" t="n">
        <f aca="false">B5*Premissas!$B$27</f>
        <v>10.194</v>
      </c>
      <c r="C10" s="23" t="n">
        <f aca="false">C5*Premissas!$B$35</f>
        <v>13.592</v>
      </c>
      <c r="D10" s="23" t="n">
        <f aca="false">D5*(Premissas!$B$40+Premissas!$B$41)</f>
        <v>33.98</v>
      </c>
      <c r="E10" s="23" t="n">
        <f aca="false">E5/Premissas!$B$49</f>
        <v>56.6333333333333</v>
      </c>
      <c r="F10" s="12" t="s">
        <v>194</v>
      </c>
    </row>
    <row r="11" customFormat="false" ht="15" hidden="false" customHeight="false" outlineLevel="0" collapsed="false">
      <c r="A11" s="10" t="s">
        <v>195</v>
      </c>
      <c r="B11" s="23" t="n">
        <f aca="false">B5*Premissas!$B$21</f>
        <v>7.6455</v>
      </c>
      <c r="C11" s="23" t="n">
        <f aca="false">C5*Premissas!$B$21</f>
        <v>7.6455</v>
      </c>
      <c r="D11" s="23" t="n">
        <f aca="false">D5*Premissas!$B$21</f>
        <v>7.6455</v>
      </c>
      <c r="E11" s="23" t="n">
        <f aca="false">E5*Premissas!$B$21</f>
        <v>7.6455</v>
      </c>
      <c r="F11" s="2"/>
    </row>
    <row r="12" customFormat="false" ht="15" hidden="false" customHeight="false" outlineLevel="0" collapsed="false">
      <c r="A12" s="10" t="s">
        <v>196</v>
      </c>
      <c r="B12" s="23" t="n">
        <f aca="false">B5*Premissas!$B$22</f>
        <v>8.495</v>
      </c>
      <c r="C12" s="23" t="n">
        <f aca="false">C5*Premissas!$B$22</f>
        <v>8.495</v>
      </c>
      <c r="D12" s="23" t="n">
        <f aca="false">D5*Premissas!$B$22</f>
        <v>8.495</v>
      </c>
      <c r="E12" s="23" t="n">
        <f aca="false">E5*Premissas!$B$22</f>
        <v>8.495</v>
      </c>
      <c r="F12" s="2"/>
    </row>
    <row r="13" customFormat="false" ht="15" hidden="false" customHeight="false" outlineLevel="0" collapsed="false">
      <c r="A13" s="10" t="s">
        <v>197</v>
      </c>
      <c r="B13" s="17" t="n">
        <f aca="false">Premissas!$B$16</f>
        <v>66.06</v>
      </c>
      <c r="C13" s="17" t="n">
        <f aca="false">Premissas!$B$16</f>
        <v>66.06</v>
      </c>
      <c r="D13" s="17" t="n">
        <f aca="false">Premissas!$B$16</f>
        <v>66.06</v>
      </c>
      <c r="E13" s="17" t="n">
        <f aca="false">Premissas!$B$16</f>
        <v>66.06</v>
      </c>
      <c r="F13" s="2"/>
    </row>
    <row r="14" customFormat="false" ht="15" hidden="false" customHeight="false" outlineLevel="0" collapsed="false">
      <c r="A14" s="6" t="s">
        <v>198</v>
      </c>
      <c r="B14" s="43" t="n">
        <f aca="false">SUM(B7:B13)</f>
        <v>136.1805</v>
      </c>
      <c r="C14" s="43" t="n">
        <f aca="false">SUM(C7:C13)</f>
        <v>139.5785</v>
      </c>
      <c r="D14" s="43" t="n">
        <f aca="false">SUM(D7:D13)</f>
        <v>142.5685</v>
      </c>
      <c r="E14" s="43" t="n">
        <f aca="false">SUM(E7:E13)</f>
        <v>168.271843333333</v>
      </c>
      <c r="F14" s="12" t="s">
        <v>199</v>
      </c>
    </row>
    <row r="15" customFormat="false" ht="15" hidden="false" customHeight="false" outlineLevel="0" collapsed="false">
      <c r="A15" s="6" t="s">
        <v>200</v>
      </c>
      <c r="B15" s="16" t="n">
        <f aca="false">B5-B14</f>
        <v>33.7195</v>
      </c>
      <c r="C15" s="16" t="n">
        <f aca="false">C5-C14</f>
        <v>30.3215</v>
      </c>
      <c r="D15" s="16" t="n">
        <f aca="false">D5-D14</f>
        <v>27.3315</v>
      </c>
      <c r="E15" s="16" t="n">
        <f aca="false">E5-E14</f>
        <v>1.62815666666668</v>
      </c>
      <c r="F15" s="2"/>
    </row>
    <row r="16" customFormat="false" ht="15" hidden="false" customHeight="false" outlineLevel="0" collapsed="false">
      <c r="A16" s="6" t="s">
        <v>201</v>
      </c>
      <c r="B16" s="44" t="n">
        <f aca="false">IF(B5=0,0,B15/B5)</f>
        <v>0.198466745144203</v>
      </c>
      <c r="C16" s="44" t="n">
        <f aca="false">IF(C5=0,0,C15/C5)</f>
        <v>0.178466745144202</v>
      </c>
      <c r="D16" s="44" t="n">
        <f aca="false">IF(D5=0,0,D15/D5)</f>
        <v>0.160868157739847</v>
      </c>
      <c r="E16" s="44" t="n">
        <f aca="false">IF(E5=0,0,E15/E5)</f>
        <v>0.00958302923288219</v>
      </c>
      <c r="F16" s="2"/>
    </row>
    <row r="17" customFormat="false" ht="15" hidden="false" customHeight="false" outlineLevel="0" collapsed="false">
      <c r="A17" s="6" t="s">
        <v>202</v>
      </c>
      <c r="B17" s="45" t="str">
        <f aca="false">IF(B16&lt;0,"PREJUÍZO",IF(B16&lt;Premissas!$B$18,"ABAIXO DO MÍNIMO",IF(B16&lt;0.25,"SAUDÁVEL","FORTE")))</f>
        <v>SAUDÁVEL</v>
      </c>
      <c r="C17" s="45" t="str">
        <f aca="false">IF(C16&lt;0,"PREJUÍZO",IF(C16&lt;Premissas!$B$18,"ABAIXO DO MÍNIMO",IF(C16&lt;0.25,"SAUDÁVEL","FORTE")))</f>
        <v>SAUDÁVEL</v>
      </c>
      <c r="D17" s="45" t="str">
        <f aca="false">IF(D16&lt;0,"PREJUÍZO",IF(D16&lt;Premissas!$B$18,"ABAIXO DO MÍNIMO",IF(D16&lt;0.25,"SAUDÁVEL","FORTE")))</f>
        <v>SAUDÁVEL</v>
      </c>
      <c r="E17" s="45" t="str">
        <f aca="false">IF(E16&lt;0,"PREJUÍZO",IF(E16&lt;Premissas!$B$18,"ABAIXO DO MÍNIMO",IF(E16&lt;0.25,"SAUDÁVEL","FORTE")))</f>
        <v>ABAIXO DO MÍNIMO</v>
      </c>
      <c r="F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</row>
    <row r="19" customFormat="false" ht="15" hidden="false" customHeight="false" outlineLevel="0" collapsed="false">
      <c r="A19" s="10" t="s">
        <v>203</v>
      </c>
      <c r="B19" s="20" t="n">
        <f aca="false">IF(B15&lt;=0,"não atinge",ROUNDUP(Premissas!$B$23/B15,0))</f>
        <v>386</v>
      </c>
      <c r="C19" s="20" t="n">
        <f aca="false">IF(C15&lt;=0,"não atinge",ROUNDUP(Premissas!$B$23/C15,0))</f>
        <v>429</v>
      </c>
      <c r="D19" s="20" t="n">
        <f aca="false">IF(D15&lt;=0,"não atinge",ROUNDUP(Premissas!$B$23/D15,0))</f>
        <v>476</v>
      </c>
      <c r="E19" s="20" t="n">
        <f aca="false">IF(E15&lt;=0,"não atinge",ROUNDUP(Premissas!$B$23/E15,0))</f>
        <v>7985</v>
      </c>
      <c r="F19" s="12" t="s">
        <v>204</v>
      </c>
    </row>
    <row r="20" customFormat="false" ht="15" hidden="false" customHeight="false" outlineLevel="0" collapsed="false">
      <c r="A20" s="10" t="s">
        <v>205</v>
      </c>
      <c r="B20" s="46" t="n">
        <f aca="false">IF(B5=0,0,(B15+B10)/B5)</f>
        <v>0.258466745144203</v>
      </c>
      <c r="C20" s="46" t="n">
        <f aca="false">IF(C5=0,0,(C15+C10)/C5)</f>
        <v>0.258466745144202</v>
      </c>
      <c r="D20" s="46" t="n">
        <f aca="false">IF(D5=0,0,(D15+D10)/D5)</f>
        <v>0.360868157739847</v>
      </c>
      <c r="E20" s="46" t="n">
        <f aca="false">IF(E5=0,0,(E15+E10)/E5)</f>
        <v>0.342916362566216</v>
      </c>
      <c r="F20" s="2"/>
    </row>
    <row r="21" customFormat="false" ht="15" hidden="false" customHeight="false" outlineLevel="0" collapsed="false">
      <c r="A21" s="10" t="s">
        <v>206</v>
      </c>
      <c r="B21" s="2"/>
      <c r="C21" s="2"/>
      <c r="D21" s="2"/>
      <c r="E21" s="47" t="n">
        <f aca="false">IF(E20&lt;=0,"—",1/E20)</f>
        <v>2.9161629748913</v>
      </c>
      <c r="F21" s="12" t="s">
        <v>207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Kits de camisetas · Rev. 02 · Blumenau, outubro de 2026&amp;R&amp;8 &amp;A · 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2"/>
    <col collapsed="false" customWidth="true" hidden="false" outlineLevel="0" max="18" min="18" style="0" width="30"/>
    <col collapsed="false" customWidth="true" hidden="false" outlineLevel="0" max="19" min="19" style="0" width="12"/>
    <col collapsed="false" customWidth="true" hidden="false" outlineLevel="0" max="21" min="20" style="0" width="11"/>
    <col collapsed="false" customWidth="true" hidden="false" outlineLevel="0" max="22" min="22" style="0" width="20"/>
  </cols>
  <sheetData>
    <row r="1" customFormat="false" ht="17.35" hidden="false" customHeight="false" outlineLevel="0" collapsed="false">
      <c r="A1" s="1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5" hidden="false" customHeight="false" outlineLevel="0" collapsed="false">
      <c r="A2" s="3" t="s">
        <v>209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43.5" hidden="false" customHeight="true" outlineLevel="0" collapsed="false">
      <c r="A4" s="31" t="s">
        <v>210</v>
      </c>
      <c r="B4" s="32" t="s">
        <v>211</v>
      </c>
      <c r="C4" s="32" t="s">
        <v>212</v>
      </c>
      <c r="D4" s="32" t="s">
        <v>213</v>
      </c>
      <c r="E4" s="32" t="s">
        <v>214</v>
      </c>
      <c r="F4" s="32" t="s">
        <v>215</v>
      </c>
      <c r="G4" s="32" t="s">
        <v>216</v>
      </c>
      <c r="H4" s="32" t="s">
        <v>217</v>
      </c>
      <c r="I4" s="32" t="s">
        <v>218</v>
      </c>
      <c r="J4" s="32" t="s">
        <v>219</v>
      </c>
      <c r="K4" s="32" t="s">
        <v>220</v>
      </c>
      <c r="L4" s="32" t="s">
        <v>221</v>
      </c>
      <c r="M4" s="32" t="s">
        <v>222</v>
      </c>
      <c r="N4" s="32" t="s">
        <v>223</v>
      </c>
      <c r="O4" s="32" t="s">
        <v>224</v>
      </c>
      <c r="P4" s="32" t="s">
        <v>225</v>
      </c>
      <c r="Q4" s="32" t="s">
        <v>226</v>
      </c>
      <c r="R4" s="32" t="s">
        <v>227</v>
      </c>
      <c r="S4" s="32" t="s">
        <v>228</v>
      </c>
      <c r="T4" s="32" t="s">
        <v>229</v>
      </c>
      <c r="U4" s="32" t="s">
        <v>230</v>
      </c>
      <c r="V4" s="32" t="s">
        <v>202</v>
      </c>
    </row>
    <row r="5" customFormat="false" ht="15" hidden="false" customHeight="false" outlineLevel="0" collapsed="false">
      <c r="A5" s="48" t="str">
        <f aca="false">'Kits calculo'!A7</f>
        <v>Popular</v>
      </c>
      <c r="B5" s="14" t="n">
        <f aca="false">'Kits calculo'!B7</f>
        <v>1</v>
      </c>
      <c r="C5" s="17" t="n">
        <f aca="false">'Kits calculo'!F7</f>
        <v>10.93</v>
      </c>
      <c r="D5" s="49" t="n">
        <f aca="false">'Kits calculo'!G7</f>
        <v>0.19</v>
      </c>
      <c r="E5" s="17" t="n">
        <f aca="false">'Kits calculo'!O7</f>
        <v>31.4054054054054</v>
      </c>
      <c r="F5" s="50" t="n">
        <f aca="false">'Kits calculo'!R7</f>
        <v>34.9</v>
      </c>
      <c r="G5" s="51" t="n">
        <f aca="false">'Kits calculo'!S7</f>
        <v>0.205573065902579</v>
      </c>
      <c r="H5" s="17" t="n">
        <f aca="false">'Kits calculo'!X7</f>
        <v>31.4315789473684</v>
      </c>
      <c r="I5" s="50" t="n">
        <f aca="false">'Kits calculo'!AA7</f>
        <v>34.9</v>
      </c>
      <c r="J5" s="51" t="n">
        <f aca="false">'Kits calculo'!AB7</f>
        <v>0.197206303724928</v>
      </c>
      <c r="K5" s="17" t="n">
        <f aca="false">'Kits calculo'!AE7</f>
        <v>27.6708860759494</v>
      </c>
      <c r="L5" s="50" t="n">
        <f aca="false">'Kits calculo'!AH7</f>
        <v>29.9</v>
      </c>
      <c r="M5" s="51" t="n">
        <f aca="false">'Kits calculo'!AI7</f>
        <v>0.179448160535117</v>
      </c>
      <c r="N5" s="17" t="n">
        <f aca="false">'Kits calculo'!AJ7</f>
        <v>77.7100331749305</v>
      </c>
      <c r="O5" s="50" t="n">
        <f aca="false">'Kits calculo'!AM7</f>
        <v>79.9</v>
      </c>
      <c r="P5" s="51" t="n">
        <f aca="false">'Kits calculo'!AN7</f>
        <v>0.160189695452649</v>
      </c>
      <c r="Q5" s="23" t="n">
        <f aca="false">E5/B5</f>
        <v>31.4054054054054</v>
      </c>
      <c r="R5" s="52" t="s">
        <v>231</v>
      </c>
      <c r="S5" s="29" t="n">
        <v>33.55</v>
      </c>
      <c r="T5" s="46" t="n">
        <f aca="false">IF(ISNUMBER(S5),E5/S5-1,"")</f>
        <v>-0.0639223426108672</v>
      </c>
      <c r="U5" s="53"/>
      <c r="V5" s="45" t="str">
        <f aca="false">IF(NOT(ISNUMBER(S5)),"SEM MERCADO",IF(U5="sim","SÓ COM MARCA PRÓPRIA",IF(T5&lt;=0,"COMPETE",IF(T5&lt;=0.05,"NO LIMITE","NÃO COMPETE"))))</f>
        <v>COMPETE</v>
      </c>
    </row>
    <row r="6" customFormat="false" ht="15" hidden="false" customHeight="false" outlineLevel="0" collapsed="false">
      <c r="A6" s="48" t="str">
        <f aca="false">'Kits calculo'!A8</f>
        <v>Popular</v>
      </c>
      <c r="B6" s="14" t="n">
        <f aca="false">'Kits calculo'!B8</f>
        <v>3</v>
      </c>
      <c r="C6" s="17" t="n">
        <f aca="false">'Kits calculo'!F8</f>
        <v>32.19</v>
      </c>
      <c r="D6" s="49" t="n">
        <f aca="false">'Kits calculo'!G8</f>
        <v>0.56</v>
      </c>
      <c r="E6" s="17" t="n">
        <f aca="false">'Kits calculo'!O8</f>
        <v>70.6126126126126</v>
      </c>
      <c r="F6" s="50" t="n">
        <f aca="false">'Kits calculo'!R8</f>
        <v>74.9</v>
      </c>
      <c r="G6" s="51" t="n">
        <f aca="false">'Kits calculo'!S8</f>
        <v>0.181769025367156</v>
      </c>
      <c r="H6" s="17" t="n">
        <f aca="false">'Kits calculo'!X8</f>
        <v>76.1894736842105</v>
      </c>
      <c r="I6" s="50" t="n">
        <f aca="false">'Kits calculo'!AA8</f>
        <v>79.9</v>
      </c>
      <c r="J6" s="51" t="n">
        <f aca="false">'Kits calculo'!AB8</f>
        <v>0.172058823529412</v>
      </c>
      <c r="K6" s="17" t="n">
        <f aca="false">'Kits calculo'!AE8</f>
        <v>87.7931034482759</v>
      </c>
      <c r="L6" s="50" t="n">
        <f aca="false">'Kits calculo'!AH8</f>
        <v>89.9</v>
      </c>
      <c r="M6" s="51" t="n">
        <f aca="false">'Kits calculo'!AI8</f>
        <v>0.160194660734149</v>
      </c>
      <c r="N6" s="17" t="n">
        <f aca="false">'Kits calculo'!AJ8</f>
        <v>142.966018111719</v>
      </c>
      <c r="O6" s="50" t="n">
        <f aca="false">'Kits calculo'!AM8</f>
        <v>144.9</v>
      </c>
      <c r="P6" s="51" t="n">
        <f aca="false">'Kits calculo'!AN8</f>
        <v>0.154961973775017</v>
      </c>
      <c r="Q6" s="23" t="n">
        <f aca="false">E6/B6</f>
        <v>23.5375375375375</v>
      </c>
      <c r="R6" s="52" t="s">
        <v>232</v>
      </c>
      <c r="S6" s="29" t="n">
        <v>69.9</v>
      </c>
      <c r="T6" s="46" t="n">
        <f aca="false">IF(ISNUMBER(S6),E6/S6-1,"")</f>
        <v>0.0101947441003234</v>
      </c>
      <c r="U6" s="53"/>
      <c r="V6" s="45" t="str">
        <f aca="false">IF(NOT(ISNUMBER(S6)),"SEM MERCADO",IF(U6="sim","SÓ COM MARCA PRÓPRIA",IF(T6&lt;=0,"COMPETE",IF(T6&lt;=0.05,"NO LIMITE","NÃO COMPETE"))))</f>
        <v>NO LIMITE</v>
      </c>
    </row>
    <row r="7" customFormat="false" ht="15" hidden="false" customHeight="false" outlineLevel="0" collapsed="false">
      <c r="A7" s="48" t="str">
        <f aca="false">'Kits calculo'!A9</f>
        <v>Popular</v>
      </c>
      <c r="B7" s="14" t="n">
        <f aca="false">'Kits calculo'!B9</f>
        <v>5</v>
      </c>
      <c r="C7" s="17" t="n">
        <f aca="false">'Kits calculo'!F9</f>
        <v>53.25</v>
      </c>
      <c r="D7" s="49" t="n">
        <f aca="false">'Kits calculo'!G9</f>
        <v>0.9</v>
      </c>
      <c r="E7" s="17" t="n">
        <f aca="false">'Kits calculo'!O9</f>
        <v>128.108108108108</v>
      </c>
      <c r="F7" s="50" t="n">
        <f aca="false">'Kits calculo'!R9</f>
        <v>129.9</v>
      </c>
      <c r="G7" s="51" t="n">
        <f aca="false">'Kits calculo'!S9</f>
        <v>0.157655889145497</v>
      </c>
      <c r="H7" s="17" t="n">
        <f aca="false">'Kits calculo'!X9</f>
        <v>136.915887850467</v>
      </c>
      <c r="I7" s="50" t="n">
        <f aca="false">'Kits calculo'!AA9</f>
        <v>139.9</v>
      </c>
      <c r="J7" s="51" t="n">
        <f aca="false">'Kits calculo'!AB9</f>
        <v>0.161411722659042</v>
      </c>
      <c r="K7" s="17" t="n">
        <f aca="false">'Kits calculo'!AE9</f>
        <v>136.206896551724</v>
      </c>
      <c r="L7" s="50" t="n">
        <f aca="false">'Kits calculo'!AH9</f>
        <v>139.9</v>
      </c>
      <c r="M7" s="51" t="n">
        <f aca="false">'Kits calculo'!AI9</f>
        <v>0.161483202287348</v>
      </c>
      <c r="N7" s="17" t="n">
        <f aca="false">'Kits calculo'!AJ9</f>
        <v>199.614453510266</v>
      </c>
      <c r="O7" s="50" t="n">
        <f aca="false">'Kits calculo'!AM9</f>
        <v>199.9</v>
      </c>
      <c r="P7" s="51" t="n">
        <f aca="false">'Kits calculo'!AN9</f>
        <v>0.150531048857762</v>
      </c>
      <c r="Q7" s="23" t="n">
        <f aca="false">E7/B7</f>
        <v>25.6216216216216</v>
      </c>
      <c r="R7" s="52" t="s">
        <v>233</v>
      </c>
      <c r="S7" s="29" t="n">
        <v>123.01</v>
      </c>
      <c r="T7" s="46" t="n">
        <f aca="false">IF(ISNUMBER(S7),E7/S7-1,"")</f>
        <v>0.0414446639143817</v>
      </c>
      <c r="U7" s="53"/>
      <c r="V7" s="45" t="str">
        <f aca="false">IF(NOT(ISNUMBER(S7)),"SEM MERCADO",IF(U7="sim","SÓ COM MARCA PRÓPRIA",IF(T7&lt;=0,"COMPETE",IF(T7&lt;=0.05,"NO LIMITE","NÃO COMPETE"))))</f>
        <v>NO LIMITE</v>
      </c>
    </row>
    <row r="8" customFormat="false" ht="15" hidden="false" customHeight="false" outlineLevel="0" collapsed="false">
      <c r="A8" s="48" t="str">
        <f aca="false">'Kits calculo'!A10</f>
        <v>Popular</v>
      </c>
      <c r="B8" s="14" t="n">
        <f aca="false">'Kits calculo'!B10</f>
        <v>10</v>
      </c>
      <c r="C8" s="17" t="n">
        <f aca="false">'Kits calculo'!F10</f>
        <v>105.9</v>
      </c>
      <c r="D8" s="49" t="n">
        <f aca="false">'Kits calculo'!G10</f>
        <v>1.74</v>
      </c>
      <c r="E8" s="17" t="n">
        <f aca="false">'Kits calculo'!O10</f>
        <v>235.225225225225</v>
      </c>
      <c r="F8" s="50" t="n">
        <f aca="false">'Kits calculo'!R10</f>
        <v>239.9</v>
      </c>
      <c r="G8" s="51" t="n">
        <f aca="false">'Kits calculo'!S10</f>
        <v>0.160814922884535</v>
      </c>
      <c r="H8" s="17" t="n">
        <f aca="false">'Kits calculo'!X10</f>
        <v>246.542056074766</v>
      </c>
      <c r="I8" s="50" t="n">
        <f aca="false">'Kits calculo'!AA10</f>
        <v>249.9</v>
      </c>
      <c r="J8" s="51" t="n">
        <f aca="false">'Kits calculo'!AB10</f>
        <v>0.15718887555022</v>
      </c>
      <c r="K8" s="17" t="n">
        <f aca="false">'Kits calculo'!AE10</f>
        <v>257.241379310345</v>
      </c>
      <c r="L8" s="50" t="n">
        <f aca="false">'Kits calculo'!AH10</f>
        <v>259.9</v>
      </c>
      <c r="M8" s="51" t="n">
        <f aca="false">'Kits calculo'!AI10</f>
        <v>0.154449788380146</v>
      </c>
      <c r="N8" s="17" t="n">
        <f aca="false">'Kits calculo'!AJ10</f>
        <v>357.374697390837</v>
      </c>
      <c r="O8" s="50" t="n">
        <f aca="false">'Kits calculo'!AM10</f>
        <v>359.9</v>
      </c>
      <c r="P8" s="51" t="n">
        <f aca="false">'Kits calculo'!AN10</f>
        <v>0.152608567194591</v>
      </c>
      <c r="Q8" s="23" t="n">
        <f aca="false">E8/B8</f>
        <v>23.5225225225225</v>
      </c>
      <c r="R8" s="52" t="s">
        <v>234</v>
      </c>
      <c r="S8" s="29" t="n">
        <v>224.99</v>
      </c>
      <c r="T8" s="46" t="n">
        <f aca="false">IF(ISNUMBER(S8),E8/S8-1,"")</f>
        <v>0.0454919117526342</v>
      </c>
      <c r="U8" s="53"/>
      <c r="V8" s="45" t="str">
        <f aca="false">IF(NOT(ISNUMBER(S8)),"SEM MERCADO",IF(U8="sim","SÓ COM MARCA PRÓPRIA",IF(T8&lt;=0,"COMPETE",IF(T8&lt;=0.05,"NO LIMITE","NÃO COMPETE"))))</f>
        <v>NO LIMITE</v>
      </c>
    </row>
    <row r="9" customFormat="false" ht="15" hidden="false" customHeight="false" outlineLevel="0" collapsed="false">
      <c r="A9" s="48" t="str">
        <f aca="false">'Kits calculo'!A11</f>
        <v>Essencial</v>
      </c>
      <c r="B9" s="14" t="n">
        <f aca="false">'Kits calculo'!B11</f>
        <v>1</v>
      </c>
      <c r="C9" s="17" t="n">
        <f aca="false">'Kits calculo'!F11</f>
        <v>22.02</v>
      </c>
      <c r="D9" s="49" t="n">
        <f aca="false">'Kits calculo'!G11</f>
        <v>0.23</v>
      </c>
      <c r="E9" s="17" t="n">
        <f aca="false">'Kits calculo'!O11</f>
        <v>51.3873873873874</v>
      </c>
      <c r="F9" s="50" t="n">
        <f aca="false">'Kits calculo'!R11</f>
        <v>54.9</v>
      </c>
      <c r="G9" s="51" t="n">
        <f aca="false">'Kits calculo'!S11</f>
        <v>0.185510018214936</v>
      </c>
      <c r="H9" s="17" t="n">
        <f aca="false">'Kits calculo'!X11</f>
        <v>54.7789473684211</v>
      </c>
      <c r="I9" s="50" t="n">
        <f aca="false">'Kits calculo'!AA11</f>
        <v>54.9</v>
      </c>
      <c r="J9" s="51" t="n">
        <f aca="false">'Kits calculo'!AB11</f>
        <v>0.151047358834244</v>
      </c>
      <c r="K9" s="17" t="n">
        <f aca="false">'Kits calculo'!AE11</f>
        <v>64.4137931034483</v>
      </c>
      <c r="L9" s="50" t="n">
        <f aca="false">'Kits calculo'!AH11</f>
        <v>64.9</v>
      </c>
      <c r="M9" s="51" t="n">
        <f aca="false">'Kits calculo'!AI11</f>
        <v>0.153258859784284</v>
      </c>
      <c r="N9" s="17" t="n">
        <f aca="false">'Kits calculo'!AJ11</f>
        <v>107.540572043396</v>
      </c>
      <c r="O9" s="50" t="n">
        <f aca="false">'Kits calculo'!AM11</f>
        <v>109.9</v>
      </c>
      <c r="P9" s="51" t="n">
        <f aca="false">'Kits calculo'!AN11</f>
        <v>0.157981407340006</v>
      </c>
      <c r="Q9" s="23" t="n">
        <f aca="false">E9/B9</f>
        <v>51.3873873873874</v>
      </c>
      <c r="R9" s="52" t="s">
        <v>235</v>
      </c>
      <c r="S9" s="29" t="n">
        <v>49.99</v>
      </c>
      <c r="T9" s="46" t="n">
        <f aca="false">IF(ISNUMBER(S9),E9/S9-1,"")</f>
        <v>0.0279533384154307</v>
      </c>
      <c r="U9" s="53"/>
      <c r="V9" s="45" t="str">
        <f aca="false">IF(NOT(ISNUMBER(S9)),"SEM MERCADO",IF(U9="sim","SÓ COM MARCA PRÓPRIA",IF(T9&lt;=0,"COMPETE",IF(T9&lt;=0.05,"NO LIMITE","NÃO COMPETE"))))</f>
        <v>NO LIMITE</v>
      </c>
    </row>
    <row r="10" customFormat="false" ht="15" hidden="false" customHeight="false" outlineLevel="0" collapsed="false">
      <c r="A10" s="48" t="str">
        <f aca="false">'Kits calculo'!A12</f>
        <v>Essencial</v>
      </c>
      <c r="B10" s="14" t="n">
        <f aca="false">'Kits calculo'!B12</f>
        <v>3</v>
      </c>
      <c r="C10" s="17" t="n">
        <f aca="false">'Kits calculo'!F12</f>
        <v>66.06</v>
      </c>
      <c r="D10" s="49" t="n">
        <f aca="false">'Kits calculo'!G12</f>
        <v>0.68</v>
      </c>
      <c r="E10" s="17" t="n">
        <f aca="false">'Kits calculo'!O12</f>
        <v>155.063063063063</v>
      </c>
      <c r="F10" s="50" t="n">
        <f aca="false">'Kits calculo'!R12</f>
        <v>159.9</v>
      </c>
      <c r="G10" s="51" t="n">
        <f aca="false">'Kits calculo'!S12</f>
        <v>0.166788617886179</v>
      </c>
      <c r="H10" s="17" t="n">
        <f aca="false">'Kits calculo'!X12</f>
        <v>160.859813084112</v>
      </c>
      <c r="I10" s="50" t="n">
        <f aca="false">'Kits calculo'!AA12</f>
        <v>164.9</v>
      </c>
      <c r="J10" s="51" t="n">
        <f aca="false">'Kits calculo'!AB12</f>
        <v>0.163107944208611</v>
      </c>
      <c r="K10" s="17" t="n">
        <f aca="false">'Kits calculo'!AE12</f>
        <v>165.655172413793</v>
      </c>
      <c r="L10" s="50" t="n">
        <f aca="false">'Kits calculo'!AH12</f>
        <v>169.9</v>
      </c>
      <c r="M10" s="51" t="n">
        <f aca="false">'Kits calculo'!AI12</f>
        <v>0.160868157739847</v>
      </c>
      <c r="N10" s="17" t="n">
        <f aca="false">'Kits calculo'!AJ12</f>
        <v>234.071550255537</v>
      </c>
      <c r="O10" s="50" t="n">
        <f aca="false">'Kits calculo'!AM12</f>
        <v>234.9</v>
      </c>
      <c r="P10" s="51" t="n">
        <f aca="false">'Kits calculo'!AN12</f>
        <v>0.151311153682418</v>
      </c>
      <c r="Q10" s="23" t="n">
        <f aca="false">E10/B10</f>
        <v>51.6876876876877</v>
      </c>
      <c r="R10" s="52" t="s">
        <v>236</v>
      </c>
      <c r="S10" s="29" t="n">
        <v>156.99</v>
      </c>
      <c r="T10" s="46" t="n">
        <f aca="false">IF(ISNUMBER(S10),E10/S10-1,"")</f>
        <v>-0.0122742654751064</v>
      </c>
      <c r="U10" s="53"/>
      <c r="V10" s="45" t="str">
        <f aca="false">IF(NOT(ISNUMBER(S10)),"SEM MERCADO",IF(U10="sim","SÓ COM MARCA PRÓPRIA",IF(T10&lt;=0,"COMPETE",IF(T10&lt;=0.05,"NO LIMITE","NÃO COMPETE"))))</f>
        <v>COMPETE</v>
      </c>
    </row>
    <row r="11" customFormat="false" ht="15" hidden="false" customHeight="false" outlineLevel="0" collapsed="false">
      <c r="A11" s="48" t="str">
        <f aca="false">'Kits calculo'!A13</f>
        <v>Essencial</v>
      </c>
      <c r="B11" s="14" t="n">
        <f aca="false">'Kits calculo'!B13</f>
        <v>5</v>
      </c>
      <c r="C11" s="17" t="n">
        <f aca="false">'Kits calculo'!F13</f>
        <v>108.1</v>
      </c>
      <c r="D11" s="49" t="n">
        <f aca="false">'Kits calculo'!G13</f>
        <v>1.1</v>
      </c>
      <c r="E11" s="17" t="n">
        <f aca="false">'Kits calculo'!O13</f>
        <v>239.189189189189</v>
      </c>
      <c r="F11" s="50" t="n">
        <f aca="false">'Kits calculo'!R13</f>
        <v>239.9</v>
      </c>
      <c r="G11" s="51" t="n">
        <f aca="false">'Kits calculo'!S13</f>
        <v>0.151644435181326</v>
      </c>
      <c r="H11" s="17" t="n">
        <f aca="false">'Kits calculo'!X13</f>
        <v>250.654205607477</v>
      </c>
      <c r="I11" s="50" t="n">
        <f aca="false">'Kits calculo'!AA13</f>
        <v>254.9</v>
      </c>
      <c r="J11" s="51" t="n">
        <f aca="false">'Kits calculo'!AB13</f>
        <v>0.158911337779521</v>
      </c>
      <c r="K11" s="17" t="n">
        <f aca="false">'Kits calculo'!AE13</f>
        <v>262.298850574713</v>
      </c>
      <c r="L11" s="50" t="n">
        <f aca="false">'Kits calculo'!AH13</f>
        <v>264.9</v>
      </c>
      <c r="M11" s="51" t="n">
        <f aca="false">'Kits calculo'!AI13</f>
        <v>0.154271423178558</v>
      </c>
      <c r="N11" s="17" t="n">
        <f aca="false">'Kits calculo'!AJ13</f>
        <v>355.222810006276</v>
      </c>
      <c r="O11" s="50" t="n">
        <f aca="false">'Kits calculo'!AM13</f>
        <v>359.9</v>
      </c>
      <c r="P11" s="51" t="n">
        <f aca="false">'Kits calculo'!AN13</f>
        <v>0.154831406872279</v>
      </c>
      <c r="Q11" s="23" t="n">
        <f aca="false">E11/B11</f>
        <v>47.8378378378378</v>
      </c>
      <c r="R11" s="52" t="s">
        <v>237</v>
      </c>
      <c r="S11" s="29" t="n">
        <v>174.99</v>
      </c>
      <c r="T11" s="46" t="n">
        <f aca="false">IF(ISNUMBER(S11),E11/S11-1,"")</f>
        <v>0.366873473851015</v>
      </c>
      <c r="U11" s="53"/>
      <c r="V11" s="45" t="str">
        <f aca="false">IF(NOT(ISNUMBER(S11)),"SEM MERCADO",IF(U11="sim","SÓ COM MARCA PRÓPRIA",IF(T11&lt;=0,"COMPETE",IF(T11&lt;=0.05,"NO LIMITE","NÃO COMPETE"))))</f>
        <v>NÃO COMPETE</v>
      </c>
    </row>
    <row r="12" customFormat="false" ht="15" hidden="false" customHeight="false" outlineLevel="0" collapsed="false">
      <c r="A12" s="48" t="str">
        <f aca="false">'Kits calculo'!A14</f>
        <v>Essencial</v>
      </c>
      <c r="B12" s="14" t="n">
        <f aca="false">'Kits calculo'!B14</f>
        <v>10</v>
      </c>
      <c r="C12" s="17" t="n">
        <f aca="false">'Kits calculo'!F14</f>
        <v>212.7</v>
      </c>
      <c r="D12" s="49" t="n">
        <f aca="false">'Kits calculo'!G14</f>
        <v>2.14</v>
      </c>
      <c r="E12" s="17" t="n">
        <f aca="false">'Kits calculo'!O14</f>
        <v>428.918918918919</v>
      </c>
      <c r="F12" s="50" t="n">
        <f aca="false">'Kits calculo'!R14</f>
        <v>429.9</v>
      </c>
      <c r="G12" s="51" t="n">
        <f aca="false">'Kits calculo'!S14</f>
        <v>0.151266573621772</v>
      </c>
      <c r="H12" s="17" t="n">
        <f aca="false">'Kits calculo'!X14</f>
        <v>446.168224299065</v>
      </c>
      <c r="I12" s="50" t="n">
        <f aca="false">'Kits calculo'!AA14</f>
        <v>449.9</v>
      </c>
      <c r="J12" s="51" t="n">
        <f aca="false">'Kits calculo'!AB14</f>
        <v>0.154437652811736</v>
      </c>
      <c r="K12" s="17" t="n">
        <f aca="false">'Kits calculo'!AE14</f>
        <v>502.758620689655</v>
      </c>
      <c r="L12" s="50" t="n">
        <f aca="false">'Kits calculo'!AH14</f>
        <v>504.9</v>
      </c>
      <c r="M12" s="51" t="n">
        <f aca="false">'Kits calculo'!AI14</f>
        <v>0.151844919786096</v>
      </c>
      <c r="N12" s="17" t="n">
        <f aca="false">'Kits calculo'!AJ14</f>
        <v>655.411100152425</v>
      </c>
      <c r="O12" s="50" t="n">
        <f aca="false">'Kits calculo'!AM14</f>
        <v>659.9</v>
      </c>
      <c r="P12" s="51" t="n">
        <f aca="false">'Kits calculo'!AN14</f>
        <v>0.152528903369198</v>
      </c>
      <c r="Q12" s="23" t="n">
        <f aca="false">E12/B12</f>
        <v>42.8918918918919</v>
      </c>
      <c r="R12" s="52" t="s">
        <v>234</v>
      </c>
      <c r="S12" s="29" t="n">
        <v>224.99</v>
      </c>
      <c r="T12" s="46" t="n">
        <f aca="false">IF(ISNUMBER(S12),E12/S12-1,"")</f>
        <v>0.906391034796741</v>
      </c>
      <c r="U12" s="53"/>
      <c r="V12" s="45" t="str">
        <f aca="false">IF(NOT(ISNUMBER(S12)),"SEM MERCADO",IF(U12="sim","SÓ COM MARCA PRÓPRIA",IF(T12&lt;=0,"COMPETE",IF(T12&lt;=0.05,"NO LIMITE","NÃO COMPETE"))))</f>
        <v>NÃO COMPETE</v>
      </c>
    </row>
    <row r="13" customFormat="false" ht="15" hidden="false" customHeight="false" outlineLevel="0" collapsed="false">
      <c r="A13" s="48" t="str">
        <f aca="false">'Kits calculo'!A15</f>
        <v>Fibra Longa</v>
      </c>
      <c r="B13" s="14" t="n">
        <f aca="false">'Kits calculo'!B15</f>
        <v>1</v>
      </c>
      <c r="C13" s="17" t="n">
        <f aca="false">'Kits calculo'!F15</f>
        <v>34.73</v>
      </c>
      <c r="D13" s="49" t="n">
        <f aca="false">'Kits calculo'!G15</f>
        <v>0.22</v>
      </c>
      <c r="E13" s="17" t="n">
        <f aca="false">'Kits calculo'!O15</f>
        <v>74.2882882882883</v>
      </c>
      <c r="F13" s="50" t="n">
        <f aca="false">'Kits calculo'!R15</f>
        <v>74.9</v>
      </c>
      <c r="G13" s="51" t="n">
        <f aca="false">'Kits calculo'!S15</f>
        <v>0.154532710280374</v>
      </c>
      <c r="H13" s="17" t="n">
        <f aca="false">'Kits calculo'!X15</f>
        <v>94.822429906542</v>
      </c>
      <c r="I13" s="50" t="n">
        <f aca="false">'Kits calculo'!AA15</f>
        <v>94.9</v>
      </c>
      <c r="J13" s="51" t="n">
        <f aca="false">'Kits calculo'!AB15</f>
        <v>0.150437302423604</v>
      </c>
      <c r="K13" s="17" t="n">
        <f aca="false">'Kits calculo'!AE15</f>
        <v>93.632183908046</v>
      </c>
      <c r="L13" s="50" t="n">
        <f aca="false">'Kits calculo'!AH15</f>
        <v>94.9</v>
      </c>
      <c r="M13" s="51" t="n">
        <f aca="false">'Kits calculo'!AI15</f>
        <v>0.155811380400422</v>
      </c>
      <c r="N13" s="17" t="n">
        <f aca="false">'Kits calculo'!AJ15</f>
        <v>141.728682865597</v>
      </c>
      <c r="O13" s="50" t="n">
        <f aca="false">'Kits calculo'!AM15</f>
        <v>144.9</v>
      </c>
      <c r="P13" s="51" t="n">
        <f aca="false">'Kits calculo'!AN15</f>
        <v>0.158136576949621</v>
      </c>
      <c r="Q13" s="23" t="n">
        <f aca="false">E13/B13</f>
        <v>74.2882882882883</v>
      </c>
      <c r="R13" s="52" t="s">
        <v>238</v>
      </c>
      <c r="S13" s="29" t="n">
        <v>135</v>
      </c>
      <c r="T13" s="46" t="n">
        <f aca="false">IF(ISNUMBER(S13),E13/S13-1,"")</f>
        <v>-0.449716383049717</v>
      </c>
      <c r="U13" s="53"/>
      <c r="V13" s="45" t="str">
        <f aca="false">IF(NOT(ISNUMBER(S13)),"SEM MERCADO",IF(U13="sim","SÓ COM MARCA PRÓPRIA",IF(T13&lt;=0,"COMPETE",IF(T13&lt;=0.05,"NO LIMITE","NÃO COMPETE"))))</f>
        <v>COMPETE</v>
      </c>
    </row>
    <row r="14" customFormat="false" ht="15" hidden="false" customHeight="false" outlineLevel="0" collapsed="false">
      <c r="A14" s="48" t="str">
        <f aca="false">'Kits calculo'!A16</f>
        <v>Fibra Longa</v>
      </c>
      <c r="B14" s="14" t="n">
        <f aca="false">'Kits calculo'!B16</f>
        <v>3</v>
      </c>
      <c r="C14" s="17" t="n">
        <f aca="false">'Kits calculo'!F16</f>
        <v>102.49</v>
      </c>
      <c r="D14" s="49" t="n">
        <f aca="false">'Kits calculo'!G16</f>
        <v>0.65</v>
      </c>
      <c r="E14" s="17" t="n">
        <f aca="false">'Kits calculo'!O16</f>
        <v>224.576576576577</v>
      </c>
      <c r="F14" s="50" t="n">
        <f aca="false">'Kits calculo'!R16</f>
        <v>224.9</v>
      </c>
      <c r="G14" s="51" t="n">
        <f aca="false">'Kits calculo'!S16</f>
        <v>0.150798132503335</v>
      </c>
      <c r="H14" s="17" t="n">
        <f aca="false">'Kits calculo'!X16</f>
        <v>240.168224299065</v>
      </c>
      <c r="I14" s="50" t="n">
        <f aca="false">'Kits calculo'!AA16</f>
        <v>244.9</v>
      </c>
      <c r="J14" s="51" t="n">
        <f aca="false">'Kits calculo'!AB16</f>
        <v>0.160336872192732</v>
      </c>
      <c r="K14" s="17" t="n">
        <f aca="false">'Kits calculo'!AE16</f>
        <v>249.402298850575</v>
      </c>
      <c r="L14" s="50" t="n">
        <f aca="false">'Kits calculo'!AH16</f>
        <v>249.9</v>
      </c>
      <c r="M14" s="51" t="n">
        <f aca="false">'Kits calculo'!AI16</f>
        <v>0.150866346538615</v>
      </c>
      <c r="N14" s="17" t="n">
        <f aca="false">'Kits calculo'!AJ16</f>
        <v>332.063122029947</v>
      </c>
      <c r="O14" s="50" t="n">
        <f aca="false">'Kits calculo'!AM16</f>
        <v>334.9</v>
      </c>
      <c r="P14" s="51" t="n">
        <f aca="false">'Kits calculo'!AN16</f>
        <v>0.153149168906141</v>
      </c>
      <c r="Q14" s="23" t="n">
        <f aca="false">E14/B14</f>
        <v>74.8588588588589</v>
      </c>
      <c r="R14" s="52" t="s">
        <v>239</v>
      </c>
      <c r="S14" s="29" t="n">
        <v>344.36</v>
      </c>
      <c r="T14" s="46" t="n">
        <f aca="false">IF(ISNUMBER(S14),E14/S14-1,"")</f>
        <v>-0.347843603854755</v>
      </c>
      <c r="U14" s="53"/>
      <c r="V14" s="45" t="str">
        <f aca="false">IF(NOT(ISNUMBER(S14)),"SEM MERCADO",IF(U14="sim","SÓ COM MARCA PRÓPRIA",IF(T14&lt;=0,"COMPETE",IF(T14&lt;=0.05,"NO LIMITE","NÃO COMPETE"))))</f>
        <v>COMPETE</v>
      </c>
    </row>
    <row r="15" customFormat="false" ht="15" hidden="false" customHeight="false" outlineLevel="0" collapsed="false">
      <c r="A15" s="48" t="str">
        <f aca="false">'Kits calculo'!A17</f>
        <v>Fibra Longa</v>
      </c>
      <c r="B15" s="14" t="n">
        <f aca="false">'Kits calculo'!B17</f>
        <v>5</v>
      </c>
      <c r="C15" s="17" t="n">
        <f aca="false">'Kits calculo'!F17</f>
        <v>168.15</v>
      </c>
      <c r="D15" s="49" t="n">
        <f aca="false">'Kits calculo'!G17</f>
        <v>1.05</v>
      </c>
      <c r="E15" s="17" t="n">
        <f aca="false">'Kits calculo'!O17</f>
        <v>347.387387387387</v>
      </c>
      <c r="F15" s="50" t="n">
        <f aca="false">'Kits calculo'!R17</f>
        <v>349.9</v>
      </c>
      <c r="G15" s="51" t="n">
        <f aca="false">'Kits calculo'!S17</f>
        <v>0.153985424406973</v>
      </c>
      <c r="H15" s="17" t="n">
        <f aca="false">'Kits calculo'!X17</f>
        <v>362.897196261682</v>
      </c>
      <c r="I15" s="50" t="n">
        <f aca="false">'Kits calculo'!AA17</f>
        <v>364.9</v>
      </c>
      <c r="J15" s="51" t="n">
        <f aca="false">'Kits calculo'!AB17</f>
        <v>0.152936420937243</v>
      </c>
      <c r="K15" s="17" t="n">
        <f aca="false">'Kits calculo'!AE17</f>
        <v>400.344827586207</v>
      </c>
      <c r="L15" s="50" t="n">
        <f aca="false">'Kits calculo'!AH17</f>
        <v>404.9</v>
      </c>
      <c r="M15" s="51" t="n">
        <f aca="false">'Kits calculo'!AI17</f>
        <v>0.154893800938503</v>
      </c>
      <c r="N15" s="17" t="n">
        <f aca="false">'Kits calculo'!AJ17</f>
        <v>516.748856809827</v>
      </c>
      <c r="O15" s="50" t="n">
        <f aca="false">'Kits calculo'!AM17</f>
        <v>519.9</v>
      </c>
      <c r="P15" s="51" t="n">
        <f aca="false">'Kits calculo'!AN17</f>
        <v>0.152253298711291</v>
      </c>
      <c r="Q15" s="23" t="n">
        <f aca="false">E15/B15</f>
        <v>69.4774774774775</v>
      </c>
      <c r="R15" s="52" t="s">
        <v>240</v>
      </c>
      <c r="S15" s="29" t="n">
        <v>638.5</v>
      </c>
      <c r="T15" s="46" t="n">
        <f aca="false">IF(ISNUMBER(S15),E15/S15-1,"")</f>
        <v>-0.455932047944577</v>
      </c>
      <c r="U15" s="52" t="s">
        <v>241</v>
      </c>
      <c r="V15" s="45" t="str">
        <f aca="false">IF(NOT(ISNUMBER(S15)),"SEM MERCADO",IF(U15="sim","SÓ COM MARCA PRÓPRIA",IF(T15&lt;=0,"COMPETE",IF(T15&lt;=0.05,"NO LIMITE","NÃO COMPETE"))))</f>
        <v>SÓ COM MARCA PRÓPRIA</v>
      </c>
    </row>
    <row r="16" customFormat="false" ht="15" hidden="false" customHeight="false" outlineLevel="0" collapsed="false">
      <c r="A16" s="48" t="str">
        <f aca="false">'Kits calculo'!A18</f>
        <v>Fibra Longa</v>
      </c>
      <c r="B16" s="14" t="n">
        <f aca="false">'Kits calculo'!B18</f>
        <v>10</v>
      </c>
      <c r="C16" s="17" t="n">
        <f aca="false">'Kits calculo'!F18</f>
        <v>330.3</v>
      </c>
      <c r="D16" s="49" t="n">
        <f aca="false">'Kits calculo'!G18</f>
        <v>2.04</v>
      </c>
      <c r="E16" s="17" t="n">
        <f aca="false">'Kits calculo'!O18</f>
        <v>640.810810810811</v>
      </c>
      <c r="F16" s="50" t="n">
        <f aca="false">'Kits calculo'!R18</f>
        <v>644.9</v>
      </c>
      <c r="G16" s="51" t="n">
        <f aca="false">'Kits calculo'!S18</f>
        <v>0.153519150255854</v>
      </c>
      <c r="H16" s="17" t="n">
        <f aca="false">'Kits calculo'!X18</f>
        <v>665.981308411215</v>
      </c>
      <c r="I16" s="50" t="n">
        <f aca="false">'Kits calculo'!AA18</f>
        <v>669.9</v>
      </c>
      <c r="J16" s="51" t="n">
        <f aca="false">'Kits calculo'!AB18</f>
        <v>0.153129571577847</v>
      </c>
      <c r="K16" s="17" t="n">
        <f aca="false">'Kits calculo'!AE18</f>
        <v>773.103448275862</v>
      </c>
      <c r="L16" s="50" t="n">
        <f aca="false">'Kits calculo'!AH18</f>
        <v>774.9</v>
      </c>
      <c r="M16" s="51" t="n">
        <f aca="false">'Kits calculo'!AI18</f>
        <v>0.15100851722803</v>
      </c>
      <c r="N16" s="17" t="n">
        <f aca="false">'Kits calculo'!AJ18</f>
        <v>971.738545682776</v>
      </c>
      <c r="O16" s="50" t="n">
        <f aca="false">'Kits calculo'!AM18</f>
        <v>974.9</v>
      </c>
      <c r="P16" s="51" t="n">
        <f aca="false">'Kits calculo'!AN18</f>
        <v>0.151205583478647</v>
      </c>
      <c r="Q16" s="23" t="n">
        <f aca="false">E16/B16</f>
        <v>64.0810810810811</v>
      </c>
      <c r="R16" s="52" t="s">
        <v>242</v>
      </c>
      <c r="S16" s="28"/>
      <c r="T16" s="46" t="str">
        <f aca="false">IF(ISNUMBER(S16),E16/S16-1,"")</f>
        <v/>
      </c>
      <c r="U16" s="53"/>
      <c r="V16" s="45" t="str">
        <f aca="false">IF(NOT(ISNUMBER(S16)),"SEM MERCADO",IF(U16="sim","SÓ COM MARCA PRÓPRIA",IF(T16&lt;=0,"COMPETE",IF(T16&lt;=0.05,"NO LIMITE","NÃO COMPETE"))))</f>
        <v>SEM MERCADO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customFormat="false" ht="42" hidden="false" customHeight="true" outlineLevel="0" collapsed="false">
      <c r="A18" s="38" t="s">
        <v>243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customFormat="false" ht="15" hidden="false" customHeight="false" outlineLevel="0" collapsed="false">
      <c r="A20" s="4" t="s">
        <v>244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customFormat="false" ht="43.5" hidden="false" customHeight="true" outlineLevel="0" collapsed="false">
      <c r="A21" s="31" t="s">
        <v>211</v>
      </c>
      <c r="B21" s="32" t="s">
        <v>245</v>
      </c>
      <c r="C21" s="32" t="s">
        <v>246</v>
      </c>
      <c r="D21" s="32" t="s">
        <v>247</v>
      </c>
      <c r="E21" s="32" t="s">
        <v>248</v>
      </c>
      <c r="F21" s="32" t="s">
        <v>249</v>
      </c>
      <c r="G21" s="32" t="s">
        <v>250</v>
      </c>
      <c r="H21" s="32" t="s">
        <v>213</v>
      </c>
      <c r="I21" s="32" t="s">
        <v>251</v>
      </c>
      <c r="J21" s="32" t="s">
        <v>252</v>
      </c>
      <c r="K21" s="32" t="s">
        <v>253</v>
      </c>
      <c r="L21" s="32" t="s">
        <v>254</v>
      </c>
      <c r="M21" s="32" t="s">
        <v>255</v>
      </c>
      <c r="N21" s="2"/>
      <c r="O21" s="2"/>
      <c r="P21" s="2"/>
      <c r="Q21" s="2"/>
      <c r="R21" s="2"/>
      <c r="S21" s="2"/>
      <c r="T21" s="2"/>
      <c r="U21" s="2"/>
      <c r="V21" s="2"/>
    </row>
    <row r="22" customFormat="false" ht="15" hidden="false" customHeight="false" outlineLevel="0" collapsed="false">
      <c r="A22" s="6" t="s">
        <v>256</v>
      </c>
      <c r="B22" s="54" t="n">
        <v>1</v>
      </c>
      <c r="C22" s="55" t="s">
        <v>235</v>
      </c>
      <c r="D22" s="29" t="n">
        <v>49.99</v>
      </c>
      <c r="E22" s="56" t="s">
        <v>56</v>
      </c>
      <c r="F22" s="20" t="n">
        <f aca="false">MATCH(E22,'Ficha de Custo'!$B$4:$D$4,0)</f>
        <v>2</v>
      </c>
      <c r="G22" s="17" t="n">
        <f aca="false">INDEX('Ficha de Custo'!$B$18:$D$21,MATCH(B22,'Ficha de Custo'!$A$18:$A$21,0),F22)</f>
        <v>1.5</v>
      </c>
      <c r="H22" s="49" t="n">
        <f aca="false">INDEX('Ficha de Custo'!$B$36:$D$39,MATCH(B22,'Ficha de Custo'!$A$36:$A$39,0),F22)</f>
        <v>0.23</v>
      </c>
      <c r="I22" s="20" t="n">
        <f aca="false">MATCH(H22-0.0000001,'Frete 2026'!$A$6:$A$11,1)</f>
        <v>1</v>
      </c>
      <c r="J22" s="23" t="n">
        <f aca="false">IF(D22&lt;79,INDEX('Frete 2026'!$B$6:$B$11,I22),INDEX('Frete 2026'!$C$6:$G$11,I22,MATCH(D22,'Frete 2026'!$C$5:$G$5,1)))</f>
        <v>6.5</v>
      </c>
      <c r="K22" s="43" t="n">
        <f aca="false">(D22*(1-Premissas!$B$18)-D22*'Kits calculo'!$D$4-J22-G22)/B22</f>
        <v>19.74445</v>
      </c>
      <c r="L22" s="17" t="n">
        <f aca="false">INDEX('Ficha de Custo'!$B$14:$D$14,F22)</f>
        <v>20.52</v>
      </c>
      <c r="M22" s="43" t="n">
        <f aca="false">K22-L22</f>
        <v>-0.775549999999999</v>
      </c>
      <c r="N22" s="2"/>
      <c r="O22" s="2"/>
      <c r="P22" s="2"/>
      <c r="Q22" s="2"/>
      <c r="R22" s="2"/>
      <c r="S22" s="2"/>
      <c r="T22" s="2"/>
      <c r="U22" s="2"/>
      <c r="V22" s="2"/>
    </row>
    <row r="23" customFormat="false" ht="15" hidden="false" customHeight="false" outlineLevel="0" collapsed="false">
      <c r="A23" s="6" t="s">
        <v>257</v>
      </c>
      <c r="B23" s="54" t="n">
        <v>3</v>
      </c>
      <c r="C23" s="55" t="s">
        <v>236</v>
      </c>
      <c r="D23" s="29" t="n">
        <v>156.99</v>
      </c>
      <c r="E23" s="56" t="s">
        <v>56</v>
      </c>
      <c r="F23" s="20" t="n">
        <f aca="false">MATCH(E23,'Ficha de Custo'!$B$4:$D$4,0)</f>
        <v>2</v>
      </c>
      <c r="G23" s="17" t="n">
        <f aca="false">INDEX('Ficha de Custo'!$B$18:$D$21,MATCH(B23,'Ficha de Custo'!$A$18:$A$21,0),F23)</f>
        <v>4.5</v>
      </c>
      <c r="H23" s="49" t="n">
        <f aca="false">INDEX('Ficha de Custo'!$B$36:$D$39,MATCH(B23,'Ficha de Custo'!$A$36:$A$39,0),F23)</f>
        <v>0.68</v>
      </c>
      <c r="I23" s="20" t="n">
        <f aca="false">MATCH(H23-0.0000001,'Frete 2026'!$A$6:$A$11,1)</f>
        <v>3</v>
      </c>
      <c r="J23" s="23" t="n">
        <f aca="false">IF(D23&lt;79,INDEX('Frete 2026'!$B$6:$B$11,I23),INDEX('Frete 2026'!$C$6:$G$11,I23,MATCH(D23,'Frete 2026'!$C$5:$G$5,1)))</f>
        <v>20</v>
      </c>
      <c r="K23" s="43" t="n">
        <f aca="false">(D23*(1-Premissas!$B$18)-D23*'Kits calculo'!$D$4-J23-G23)/B23</f>
        <v>20.8764833333333</v>
      </c>
      <c r="L23" s="17" t="n">
        <f aca="false">INDEX('Ficha de Custo'!$B$14:$D$14,F23)</f>
        <v>20.52</v>
      </c>
      <c r="M23" s="43" t="n">
        <f aca="false">K23-L23</f>
        <v>0.35648333333333</v>
      </c>
      <c r="N23" s="2"/>
      <c r="O23" s="2"/>
      <c r="P23" s="2"/>
      <c r="Q23" s="2"/>
      <c r="R23" s="2"/>
      <c r="S23" s="2"/>
      <c r="T23" s="2"/>
      <c r="U23" s="2"/>
      <c r="V23" s="2"/>
    </row>
    <row r="24" customFormat="false" ht="15" hidden="false" customHeight="false" outlineLevel="0" collapsed="false">
      <c r="A24" s="6" t="s">
        <v>258</v>
      </c>
      <c r="B24" s="54" t="n">
        <v>5</v>
      </c>
      <c r="C24" s="55" t="s">
        <v>233</v>
      </c>
      <c r="D24" s="29" t="n">
        <v>123.01</v>
      </c>
      <c r="E24" s="56" t="s">
        <v>121</v>
      </c>
      <c r="F24" s="20" t="n">
        <f aca="false">MATCH(E24,'Ficha de Custo'!$B$4:$D$4,0)</f>
        <v>1</v>
      </c>
      <c r="G24" s="17" t="n">
        <f aca="false">INDEX('Ficha de Custo'!$B$18:$D$21,MATCH(B24,'Ficha de Custo'!$A$18:$A$21,0),F24)</f>
        <v>1.1</v>
      </c>
      <c r="H24" s="49" t="n">
        <f aca="false">INDEX('Ficha de Custo'!$B$36:$D$39,MATCH(B24,'Ficha de Custo'!$A$36:$A$39,0),F24)</f>
        <v>0.9</v>
      </c>
      <c r="I24" s="20" t="n">
        <f aca="false">MATCH(H24-0.0000001,'Frete 2026'!$A$6:$A$11,1)</f>
        <v>3</v>
      </c>
      <c r="J24" s="23" t="n">
        <f aca="false">IF(D24&lt;79,INDEX('Frete 2026'!$B$6:$B$11,I24),INDEX('Frete 2026'!$C$6:$G$11,I24,MATCH(D24,'Frete 2026'!$C$5:$G$5,1)))</f>
        <v>17.85</v>
      </c>
      <c r="K24" s="43" t="n">
        <f aca="false">(D24*(1-Premissas!$B$18)-D24*'Kits calculo'!$D$4-J24-G24)/B24</f>
        <v>9.86411</v>
      </c>
      <c r="L24" s="17" t="n">
        <f aca="false">INDEX('Ficha de Custo'!$B$14:$D$14,F24)</f>
        <v>10.43</v>
      </c>
      <c r="M24" s="43" t="n">
        <f aca="false">K24-L24</f>
        <v>-0.565890000000003</v>
      </c>
      <c r="N24" s="2"/>
      <c r="O24" s="2"/>
      <c r="P24" s="2"/>
      <c r="Q24" s="2"/>
      <c r="R24" s="2"/>
      <c r="S24" s="2"/>
      <c r="T24" s="2"/>
      <c r="U24" s="2"/>
      <c r="V24" s="2"/>
    </row>
    <row r="25" customFormat="false" ht="15" hidden="false" customHeight="false" outlineLevel="0" collapsed="false">
      <c r="A25" s="6" t="s">
        <v>259</v>
      </c>
      <c r="B25" s="54" t="n">
        <v>10</v>
      </c>
      <c r="C25" s="55" t="s">
        <v>234</v>
      </c>
      <c r="D25" s="29" t="n">
        <v>224.99</v>
      </c>
      <c r="E25" s="56" t="s">
        <v>121</v>
      </c>
      <c r="F25" s="20" t="n">
        <f aca="false">MATCH(E25,'Ficha de Custo'!$B$4:$D$4,0)</f>
        <v>1</v>
      </c>
      <c r="G25" s="17" t="n">
        <f aca="false">INDEX('Ficha de Custo'!$B$18:$D$21,MATCH(B25,'Ficha de Custo'!$A$18:$A$21,0),F25)</f>
        <v>1.6</v>
      </c>
      <c r="H25" s="49" t="n">
        <f aca="false">INDEX('Ficha de Custo'!$B$36:$D$39,MATCH(B25,'Ficha de Custo'!$A$36:$A$39,0),F25)</f>
        <v>1.74</v>
      </c>
      <c r="I25" s="20" t="n">
        <f aca="false">MATCH(H25-0.0000001,'Frete 2026'!$A$6:$A$11,1)</f>
        <v>5</v>
      </c>
      <c r="J25" s="23" t="n">
        <f aca="false">IF(D25&lt;79,INDEX('Frete 2026'!$B$6:$B$11,I25),INDEX('Frete 2026'!$C$6:$G$11,I25,MATCH(D25,'Frete 2026'!$C$5:$G$5,1)))</f>
        <v>24.65</v>
      </c>
      <c r="K25" s="43" t="n">
        <f aca="false">(D25*(1-Premissas!$B$18)-D25*'Kits calculo'!$D$4-J25-G25)/B25</f>
        <v>9.861945</v>
      </c>
      <c r="L25" s="17" t="n">
        <f aca="false">INDEX('Ficha de Custo'!$B$14:$D$14,F25)</f>
        <v>10.43</v>
      </c>
      <c r="M25" s="43" t="n">
        <f aca="false">K25-L25</f>
        <v>-0.568054999999999</v>
      </c>
      <c r="N25" s="2"/>
      <c r="O25" s="2"/>
      <c r="P25" s="2"/>
      <c r="Q25" s="2"/>
      <c r="R25" s="2"/>
      <c r="S25" s="2"/>
      <c r="T25" s="2"/>
      <c r="U25" s="2"/>
      <c r="V25" s="2"/>
    </row>
  </sheetData>
  <mergeCells count="1">
    <mergeCell ref="A18:V18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Kits de camisetas · Rev. 02 · Blumenau, outubro de 2026&amp;R&amp;8 &amp;A · 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40" min="2" style="0" width="11"/>
  </cols>
  <sheetData>
    <row r="1" customFormat="false" ht="17.35" hidden="false" customHeight="false" outlineLevel="0" collapsed="false">
      <c r="A1" s="1" t="s">
        <v>260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5" hidden="false" customHeight="false" outlineLevel="0" collapsed="false">
      <c r="A2" s="3" t="s">
        <v>261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customFormat="false" ht="15" hidden="false" customHeight="false" outlineLevel="0" collapsed="false">
      <c r="A4" s="6" t="s">
        <v>262</v>
      </c>
      <c r="B4" s="51" t="n">
        <f aca="false">Premissas!$B$18</f>
        <v>0.15</v>
      </c>
      <c r="C4" s="6" t="s">
        <v>263</v>
      </c>
      <c r="D4" s="41" t="n">
        <f aca="false">Premissas!$B$26+Premissas!$B$27+Premissas!$B$21+Premissas!$B$22</f>
        <v>0.295</v>
      </c>
      <c r="E4" s="6" t="s">
        <v>264</v>
      </c>
      <c r="F4" s="41" t="n">
        <f aca="false">Premissas!$B$36+Premissas!$B$35+Premissas!$B$21+Premissas!$B$22</f>
        <v>0.175</v>
      </c>
      <c r="G4" s="6" t="s">
        <v>265</v>
      </c>
      <c r="H4" s="41" t="n">
        <f aca="false">Premissas!$B$39+Premissas!$B$40+Premissas!$B$41+Premissas!$B$21+Premissas!$B$22</f>
        <v>0.355</v>
      </c>
      <c r="I4" s="6" t="s">
        <v>266</v>
      </c>
      <c r="J4" s="41" t="n">
        <f aca="false">Premissas!$B$44+1/Premissas!$B$49+Premissas!$B$21+Premissas!$B$22</f>
        <v>0.478233333333333</v>
      </c>
      <c r="K4" s="6" t="s">
        <v>267</v>
      </c>
      <c r="L4" s="41" t="n">
        <f aca="false">Premissas!$B$44+Premissas!$B$21+Premissas!$B$22</f>
        <v>0.1449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customFormat="false" ht="43.5" hidden="false" customHeight="true" outlineLevel="0" collapsed="false">
      <c r="A6" s="31" t="s">
        <v>210</v>
      </c>
      <c r="B6" s="32" t="s">
        <v>211</v>
      </c>
      <c r="C6" s="32" t="s">
        <v>249</v>
      </c>
      <c r="D6" s="32" t="s">
        <v>268</v>
      </c>
      <c r="E6" s="32" t="s">
        <v>269</v>
      </c>
      <c r="F6" s="32" t="s">
        <v>212</v>
      </c>
      <c r="G6" s="32" t="s">
        <v>213</v>
      </c>
      <c r="H6" s="32" t="s">
        <v>270</v>
      </c>
      <c r="I6" s="32" t="s">
        <v>271</v>
      </c>
      <c r="J6" s="32" t="s">
        <v>272</v>
      </c>
      <c r="K6" s="32" t="s">
        <v>273</v>
      </c>
      <c r="L6" s="32" t="s">
        <v>274</v>
      </c>
      <c r="M6" s="32" t="s">
        <v>275</v>
      </c>
      <c r="N6" s="32" t="s">
        <v>276</v>
      </c>
      <c r="O6" s="32" t="s">
        <v>214</v>
      </c>
      <c r="P6" s="32" t="s">
        <v>277</v>
      </c>
      <c r="Q6" s="32" t="s">
        <v>278</v>
      </c>
      <c r="R6" s="32" t="s">
        <v>215</v>
      </c>
      <c r="S6" s="32" t="s">
        <v>216</v>
      </c>
      <c r="T6" s="32" t="s">
        <v>279</v>
      </c>
      <c r="U6" s="32" t="s">
        <v>280</v>
      </c>
      <c r="V6" s="32" t="s">
        <v>281</v>
      </c>
      <c r="W6" s="32" t="s">
        <v>282</v>
      </c>
      <c r="X6" s="32" t="s">
        <v>217</v>
      </c>
      <c r="Y6" s="32" t="s">
        <v>283</v>
      </c>
      <c r="Z6" s="32" t="s">
        <v>284</v>
      </c>
      <c r="AA6" s="32" t="s">
        <v>218</v>
      </c>
      <c r="AB6" s="32" t="s">
        <v>219</v>
      </c>
      <c r="AC6" s="32" t="s">
        <v>285</v>
      </c>
      <c r="AD6" s="32" t="s">
        <v>286</v>
      </c>
      <c r="AE6" s="32" t="s">
        <v>220</v>
      </c>
      <c r="AF6" s="32" t="s">
        <v>287</v>
      </c>
      <c r="AG6" s="32" t="s">
        <v>288</v>
      </c>
      <c r="AH6" s="32" t="s">
        <v>221</v>
      </c>
      <c r="AI6" s="32" t="s">
        <v>222</v>
      </c>
      <c r="AJ6" s="32" t="s">
        <v>223</v>
      </c>
      <c r="AK6" s="32" t="s">
        <v>289</v>
      </c>
      <c r="AL6" s="32" t="s">
        <v>290</v>
      </c>
      <c r="AM6" s="32" t="s">
        <v>224</v>
      </c>
      <c r="AN6" s="32" t="s">
        <v>225</v>
      </c>
    </row>
    <row r="7" customFormat="false" ht="15" hidden="false" customHeight="false" outlineLevel="0" collapsed="false">
      <c r="A7" s="6" t="s">
        <v>121</v>
      </c>
      <c r="B7" s="57" t="n">
        <v>1</v>
      </c>
      <c r="C7" s="20" t="n">
        <f aca="false">MATCH(A7,'Ficha de Custo'!$B$4:$D$4,0)</f>
        <v>1</v>
      </c>
      <c r="D7" s="17" t="n">
        <f aca="false">INDEX('Ficha de Custo'!$B$14:$D$14,C7)</f>
        <v>10.43</v>
      </c>
      <c r="E7" s="17" t="n">
        <f aca="false">INDEX('Ficha de Custo'!$B$18:$D$21,MATCH(B7,'Ficha de Custo'!$A$18:$A$21,0),C7)</f>
        <v>0.5</v>
      </c>
      <c r="F7" s="23" t="n">
        <f aca="false">D7*B7+E7</f>
        <v>10.93</v>
      </c>
      <c r="G7" s="49" t="n">
        <f aca="false">INDEX('Ficha de Custo'!$B$36:$D$39,MATCH(B7,'Ficha de Custo'!$A$36:$A$39,0),C7)</f>
        <v>0.19</v>
      </c>
      <c r="H7" s="20" t="n">
        <f aca="false">MATCH(G7-0.0000001,'Frete 2026'!$A$6:$A$11,1)</f>
        <v>1</v>
      </c>
      <c r="I7" s="23" t="n">
        <f aca="false">IF((1-$D$4-$B$4)&lt;=0,"",IF(MAX(1,(F7+INDEX('Frete 2026'!$B$6:$B$11,H7))/(1-$D$4-$B$4))&lt;79,MAX(1,(F7+INDEX('Frete 2026'!$B$6:$B$11,H7))/(1-$D$4-$B$4)),""))</f>
        <v>31.4054054054054</v>
      </c>
      <c r="J7" s="23" t="n">
        <f aca="false">IF((1-$D$4-$B$4)&lt;=0,"",IF(MAX('Frete 2026'!$C$5,(F7+INDEX('Frete 2026'!$C$6:$C$11,H7))/(1-$D$4-$B$4))&lt;'Frete 2026'!$D$5,MAX('Frete 2026'!$C$5,(F7+INDEX('Frete 2026'!$C$6:$C$11,H7))/(1-$D$4-$B$4)),""))</f>
        <v>79</v>
      </c>
      <c r="K7" s="23" t="n">
        <f aca="false">IF((1-$D$4-$B$4)&lt;=0,"",IF(MAX('Frete 2026'!$D$5,(F7+INDEX('Frete 2026'!$D$6:$D$11,H7))/(1-$D$4-$B$4))&lt;'Frete 2026'!$E$5,MAX('Frete 2026'!$D$5,(F7+INDEX('Frete 2026'!$D$6:$D$11,H7))/(1-$D$4-$B$4)),""))</f>
        <v>100</v>
      </c>
      <c r="L7" s="23" t="n">
        <f aca="false">IF((1-$D$4-$B$4)&lt;=0,"",IF(MAX('Frete 2026'!$E$5,(F7+INDEX('Frete 2026'!$E$6:$E$11,H7))/(1-$D$4-$B$4))&lt;'Frete 2026'!$F$5,MAX('Frete 2026'!$E$5,(F7+INDEX('Frete 2026'!$E$6:$E$11,H7))/(1-$D$4-$B$4)),""))</f>
        <v>120</v>
      </c>
      <c r="M7" s="23" t="n">
        <f aca="false">IF((1-$D$4-$B$4)&lt;=0,"",IF(MAX('Frete 2026'!$F$5,(F7+INDEX('Frete 2026'!$F$6:$F$11,H7))/(1-$D$4-$B$4))&lt;'Frete 2026'!$G$5,MAX('Frete 2026'!$F$5,(F7+INDEX('Frete 2026'!$F$6:$F$11,H7))/(1-$D$4-$B$4)),""))</f>
        <v>150</v>
      </c>
      <c r="N7" s="23" t="n">
        <f aca="false">IF((1-$D$4-$B$4)&lt;=0,"",IF(MAX('Frete 2026'!$G$5,(F7+INDEX('Frete 2026'!$G$6:$G$11,H7))/(1-$D$4-$B$4))&lt;1000000000,MAX('Frete 2026'!$G$5,(F7+INDEX('Frete 2026'!$G$6:$G$11,H7))/(1-$D$4-$B$4)),""))</f>
        <v>200</v>
      </c>
      <c r="O7" s="43" t="n">
        <f aca="false">MIN(I7:N7)</f>
        <v>31.4054054054054</v>
      </c>
      <c r="P7" s="23" t="n">
        <f aca="false">CEILING(O7-4.9,5)+4.9</f>
        <v>34.9</v>
      </c>
      <c r="Q7" s="46" t="n">
        <f aca="false">((P7)-(F7+IF((P7)&lt;79,INDEX('Frete 2026'!$B$6:$B$11,H7),INDEX('Frete 2026'!$C$6:$G$11,H7,MATCH((P7),'Frete 2026'!$C$5:$G$5,1)))+(P7)*$D$4))/(P7)</f>
        <v>0.205573065902579</v>
      </c>
      <c r="R7" s="43" t="n">
        <f aca="false">IF(((P7)-(F7+IF((P7)&lt;79,INDEX('Frete 2026'!$B$6:$B$11,H7),INDEX('Frete 2026'!$C$6:$G$11,H7,MATCH((P7),'Frete 2026'!$C$5:$G$5,1)))+(P7)*$D$4))/(P7)&gt;=$B$4,P7,IF(((P7+5)-(F7+IF((P7+5)&lt;79,INDEX('Frete 2026'!$B$6:$B$11,H7),INDEX('Frete 2026'!$C$6:$G$11,H7,MATCH((P7+5),'Frete 2026'!$C$5:$G$5,1)))+(P7+5)*$D$4))/(P7+5)&gt;=$B$4,P7+5,P7+10))</f>
        <v>34.9</v>
      </c>
      <c r="S7" s="46" t="n">
        <f aca="false">((R7)-(F7+IF((R7)&lt;79,INDEX('Frete 2026'!$B$6:$B$11,H7),INDEX('Frete 2026'!$C$6:$G$11,H7,MATCH((R7),'Frete 2026'!$C$5:$G$5,1)))+(R7)*$D$4))/(R7)</f>
        <v>0.205573065902579</v>
      </c>
      <c r="T7" s="23" t="n">
        <f aca="false">IF((1-'Taxas 2026'!$C$16-$F$4-$B$4)&lt;=0,"",IF(MAX('Taxas 2026'!$B$16,(F7+'Taxas 2026'!$D$16+Premissas!$B$34)/(1-'Taxas 2026'!$C$16-$F$4-$B$4))&lt;'Taxas 2026'!$B$17,MAX('Taxas 2026'!$B$16,(F7+'Taxas 2026'!$D$16+Premissas!$B$34)/(1-'Taxas 2026'!$C$16-$F$4-$B$4)),""))</f>
        <v>31.4315789473684</v>
      </c>
      <c r="U7" s="23" t="n">
        <f aca="false">IF((1-'Taxas 2026'!$C$17-$F$4-$B$4)&lt;=0,"",IF(MAX('Taxas 2026'!$B$17,(F7+'Taxas 2026'!$D$17+Premissas!$B$34)/(1-'Taxas 2026'!$C$17-$F$4-$B$4))&lt;'Taxas 2026'!$B$18,MAX('Taxas 2026'!$B$17,(F7+'Taxas 2026'!$D$17+Premissas!$B$34)/(1-'Taxas 2026'!$C$17-$F$4-$B$4)),""))</f>
        <v>80</v>
      </c>
      <c r="V7" s="23" t="n">
        <f aca="false">IF((1-'Taxas 2026'!$C$18-$F$4-$B$4)&lt;=0,"",IF(MAX('Taxas 2026'!$B$18,(F7+'Taxas 2026'!$D$18+Premissas!$B$34)/(1-'Taxas 2026'!$C$18-$F$4-$B$4))&lt;'Taxas 2026'!$B$19,MAX('Taxas 2026'!$B$18,(F7+'Taxas 2026'!$D$18+Premissas!$B$34)/(1-'Taxas 2026'!$C$18-$F$4-$B$4)),""))</f>
        <v>100</v>
      </c>
      <c r="W7" s="23" t="n">
        <f aca="false">IF((1-'Taxas 2026'!$C$19-$F$4-$B$4)&lt;=0,"",IF(MAX('Taxas 2026'!$B$19,(F7+'Taxas 2026'!$D$19+Premissas!$B$34)/(1-'Taxas 2026'!$C$19-$F$4-$B$4))&lt;1000000000,MAX('Taxas 2026'!$B$19,(F7+'Taxas 2026'!$D$19+Premissas!$B$34)/(1-'Taxas 2026'!$C$19-$F$4-$B$4)),""))</f>
        <v>200</v>
      </c>
      <c r="X7" s="43" t="n">
        <f aca="false">MIN(T7:W7)</f>
        <v>31.4315789473684</v>
      </c>
      <c r="Y7" s="23" t="n">
        <f aca="false">CEILING(X7-4.9,5)+4.9</f>
        <v>34.9</v>
      </c>
      <c r="Z7" s="46" t="n">
        <f aca="false">((Y7)-(F7+(Y7)*(INDEX('Taxas 2026'!$C$15:$C$19,MATCH((Y7),'Taxas 2026'!$B$15:$B$19,1))+$F$4)+INDEX('Taxas 2026'!$D$15:$D$19,MATCH((Y7),'Taxas 2026'!$B$15:$B$19,1))+Premissas!$B$34))/(Y7)</f>
        <v>0.197206303724928</v>
      </c>
      <c r="AA7" s="43" t="n">
        <f aca="false">IF(((Y7)-(F7+(Y7)*(INDEX('Taxas 2026'!$C$15:$C$19,MATCH((Y7),'Taxas 2026'!$B$15:$B$19,1))+$F$4)+INDEX('Taxas 2026'!$D$15:$D$19,MATCH((Y7),'Taxas 2026'!$B$15:$B$19,1))+Premissas!$B$34))/(Y7)&gt;=$B$4,Y7,IF(((Y7+5)-(F7+(Y7+5)*(INDEX('Taxas 2026'!$C$15:$C$19,MATCH((Y7+5),'Taxas 2026'!$B$15:$B$19,1))+$F$4)+INDEX('Taxas 2026'!$D$15:$D$19,MATCH((Y7+5),'Taxas 2026'!$B$15:$B$19,1))+Premissas!$B$34))/(Y7+5)&gt;=$B$4,Y7+5,Y7+10))</f>
        <v>34.9</v>
      </c>
      <c r="AB7" s="46" t="n">
        <f aca="false">((AA7)-(F7+(AA7)*(INDEX('Taxas 2026'!$C$15:$C$19,MATCH((AA7),'Taxas 2026'!$B$15:$B$19,1))+$F$4)+INDEX('Taxas 2026'!$D$15:$D$19,MATCH((AA7),'Taxas 2026'!$B$15:$B$19,1))+Premissas!$B$34))/(AA7)</f>
        <v>0.197206303724928</v>
      </c>
      <c r="AC7" s="23" t="n">
        <f aca="false">IF((1-'Taxas 2026'!$C$24-$H$4-$B$4)&lt;=0,"",IF(MAX(1,(F7+'Taxas 2026'!$D$24)/(1-'Taxas 2026'!$C$24-$H$4-$B$4))&lt;'Taxas 2026'!$B$25,MAX(1,(F7+'Taxas 2026'!$D$24)/(1-'Taxas 2026'!$C$24-$H$4-$B$4)),""))</f>
        <v>27.6708860759494</v>
      </c>
      <c r="AD7" s="23" t="n">
        <f aca="false">IF((1-'Taxas 2026'!$C$25-$H$4-$B$4)&lt;=0,"",IF(MAX('Taxas 2026'!$B$25,(F7+'Taxas 2026'!$D$25)/(1-'Taxas 2026'!$C$25-$H$4-$B$4))&lt;1000000000,MAX('Taxas 2026'!$B$25,(F7+'Taxas 2026'!$D$25)/(1-'Taxas 2026'!$C$25-$H$4-$B$4)),""))</f>
        <v>50</v>
      </c>
      <c r="AE7" s="43" t="n">
        <f aca="false">MIN(AC7:AD7)</f>
        <v>27.6708860759494</v>
      </c>
      <c r="AF7" s="23" t="n">
        <f aca="false">CEILING(AE7-4.9,5)+4.9</f>
        <v>29.9</v>
      </c>
      <c r="AG7" s="46" t="n">
        <f aca="false">((AF7)-(F7+(AF7)*(INDEX('Taxas 2026'!$C$24:$C$25,MATCH((AF7),'Taxas 2026'!$B$24:$B$25,1))+$H$4)+INDEX('Taxas 2026'!$D$24:$D$25,MATCH((AF7),'Taxas 2026'!$B$24:$B$25,1))))/(AF7)</f>
        <v>0.179448160535117</v>
      </c>
      <c r="AH7" s="43" t="n">
        <f aca="false">IF(((AF7)-(F7+(AF7)*(INDEX('Taxas 2026'!$C$24:$C$25,MATCH((AF7),'Taxas 2026'!$B$24:$B$25,1))+$H$4)+INDEX('Taxas 2026'!$D$24:$D$25,MATCH((AF7),'Taxas 2026'!$B$24:$B$25,1))))/(AF7)&gt;=$B$4,AF7,IF(((AF7+5)-(F7+(AF7+5)*(INDEX('Taxas 2026'!$C$24:$C$25,MATCH((AF7+5),'Taxas 2026'!$B$24:$B$25,1))+$H$4)+INDEX('Taxas 2026'!$D$24:$D$25,MATCH((AF7+5),'Taxas 2026'!$B$24:$B$25,1))))/(AF7+5)&gt;=$B$4,AF7+5,AF7+10))</f>
        <v>29.9</v>
      </c>
      <c r="AI7" s="46" t="n">
        <f aca="false">((AH7)-(F7+(AH7)*(INDEX('Taxas 2026'!$C$24:$C$25,MATCH((AH7),'Taxas 2026'!$B$24:$B$25,1))+$H$4)+INDEX('Taxas 2026'!$D$24:$D$25,MATCH((AH7),'Taxas 2026'!$B$24:$B$25,1))))/(AH7)</f>
        <v>0.179448160535117</v>
      </c>
      <c r="AJ7" s="43" t="n">
        <f aca="false">MAX(1,(F7+Premissas!$B$45+Premissas!$B$48+INDEX('Frete 2026'!$H$6:$H$11,H7))/(1-$J$4-$B$4))</f>
        <v>77.7100331749305</v>
      </c>
      <c r="AK7" s="23" t="n">
        <f aca="false">CEILING(AJ7-4.9,5)+4.9</f>
        <v>79.9</v>
      </c>
      <c r="AL7" s="46" t="n">
        <f aca="false">((AK7)-(F7+Premissas!$B$45+Premissas!$B$48+INDEX('Frete 2026'!$H$6:$H$11,H7)+(AK7)*$J$4))/(AK7)</f>
        <v>0.160189695452649</v>
      </c>
      <c r="AM7" s="43" t="n">
        <f aca="false">IF(((AK7)-(F7+Premissas!$B$45+Premissas!$B$48+INDEX('Frete 2026'!$H$6:$H$11,H7)+(AK7)*$J$4))/(AK7)&gt;=$B$4,AK7,IF(((AK7+5)-(F7+Premissas!$B$45+Premissas!$B$48+INDEX('Frete 2026'!$H$6:$H$11,H7)+(AK7+5)*$J$4))/(AK7+5)&gt;=$B$4,AK7+5,AK7+10))</f>
        <v>79.9</v>
      </c>
      <c r="AN7" s="46" t="n">
        <f aca="false">((AM7)-(F7+Premissas!$B$45+Premissas!$B$48+INDEX('Frete 2026'!$H$6:$H$11,H7)+(AM7)*$J$4))/(AM7)</f>
        <v>0.160189695452649</v>
      </c>
    </row>
    <row r="8" customFormat="false" ht="15" hidden="false" customHeight="false" outlineLevel="0" collapsed="false">
      <c r="A8" s="6" t="s">
        <v>121</v>
      </c>
      <c r="B8" s="57" t="n">
        <v>3</v>
      </c>
      <c r="C8" s="20" t="n">
        <f aca="false">MATCH(A8,'Ficha de Custo'!$B$4:$D$4,0)</f>
        <v>1</v>
      </c>
      <c r="D8" s="17" t="n">
        <f aca="false">INDEX('Ficha de Custo'!$B$14:$D$14,C8)</f>
        <v>10.43</v>
      </c>
      <c r="E8" s="17" t="n">
        <f aca="false">INDEX('Ficha de Custo'!$B$18:$D$21,MATCH(B8,'Ficha de Custo'!$A$18:$A$21,0),C8)</f>
        <v>0.9</v>
      </c>
      <c r="F8" s="23" t="n">
        <f aca="false">D8*B8+E8</f>
        <v>32.19</v>
      </c>
      <c r="G8" s="49" t="n">
        <f aca="false">INDEX('Ficha de Custo'!$B$36:$D$39,MATCH(B8,'Ficha de Custo'!$A$36:$A$39,0),C8)</f>
        <v>0.56</v>
      </c>
      <c r="H8" s="20" t="n">
        <f aca="false">MATCH(G8-0.0000001,'Frete 2026'!$A$6:$A$11,1)</f>
        <v>3</v>
      </c>
      <c r="I8" s="23" t="n">
        <f aca="false">IF((1-$D$4-$B$4)&lt;=0,"",IF(MAX(1,(F8+INDEX('Frete 2026'!$B$6:$B$11,H8))/(1-$D$4-$B$4))&lt;79,MAX(1,(F8+INDEX('Frete 2026'!$B$6:$B$11,H8))/(1-$D$4-$B$4)),""))</f>
        <v>70.6126126126126</v>
      </c>
      <c r="J8" s="23" t="n">
        <f aca="false">IF((1-$D$4-$B$4)&lt;=0,"",IF(MAX('Frete 2026'!$C$5,(F8+INDEX('Frete 2026'!$C$6:$C$11,H8))/(1-$D$4-$B$4))&lt;'Frete 2026'!$D$5,MAX('Frete 2026'!$C$5,(F8+INDEX('Frete 2026'!$C$6:$C$11,H8))/(1-$D$4-$B$4)),""))</f>
        <v>82.4144144144144</v>
      </c>
      <c r="K8" s="23" t="n">
        <f aca="false">IF((1-$D$4-$B$4)&lt;=0,"",IF(MAX('Frete 2026'!$D$5,(F8+INDEX('Frete 2026'!$D$6:$D$11,H8))/(1-$D$4-$B$4))&lt;'Frete 2026'!$E$5,MAX('Frete 2026'!$D$5,(F8+INDEX('Frete 2026'!$D$6:$D$11,H8))/(1-$D$4-$B$4)),""))</f>
        <v>100</v>
      </c>
      <c r="L8" s="23" t="n">
        <f aca="false">IF((1-$D$4-$B$4)&lt;=0,"",IF(MAX('Frete 2026'!$E$5,(F8+INDEX('Frete 2026'!$E$6:$E$11,H8))/(1-$D$4-$B$4))&lt;'Frete 2026'!$F$5,MAX('Frete 2026'!$E$5,(F8+INDEX('Frete 2026'!$E$6:$E$11,H8))/(1-$D$4-$B$4)),""))</f>
        <v>120</v>
      </c>
      <c r="M8" s="23" t="n">
        <f aca="false">IF((1-$D$4-$B$4)&lt;=0,"",IF(MAX('Frete 2026'!$F$5,(F8+INDEX('Frete 2026'!$F$6:$F$11,H8))/(1-$D$4-$B$4))&lt;'Frete 2026'!$G$5,MAX('Frete 2026'!$F$5,(F8+INDEX('Frete 2026'!$F$6:$F$11,H8))/(1-$D$4-$B$4)),""))</f>
        <v>150</v>
      </c>
      <c r="N8" s="23" t="n">
        <f aca="false">IF((1-$D$4-$B$4)&lt;=0,"",IF(MAX('Frete 2026'!$G$5,(F8+INDEX('Frete 2026'!$G$6:$G$11,H8))/(1-$D$4-$B$4))&lt;1000000000,MAX('Frete 2026'!$G$5,(F8+INDEX('Frete 2026'!$G$6:$G$11,H8))/(1-$D$4-$B$4)),""))</f>
        <v>200</v>
      </c>
      <c r="O8" s="43" t="n">
        <f aca="false">MIN(I8:N8)</f>
        <v>70.6126126126126</v>
      </c>
      <c r="P8" s="23" t="n">
        <f aca="false">CEILING(O8-4.9,5)+4.9</f>
        <v>74.9</v>
      </c>
      <c r="Q8" s="46" t="n">
        <f aca="false">((P8)-(F8+IF((P8)&lt;79,INDEX('Frete 2026'!$B$6:$B$11,H8),INDEX('Frete 2026'!$C$6:$G$11,H8,MATCH((P8),'Frete 2026'!$C$5:$G$5,1)))+(P8)*$D$4))/(P8)</f>
        <v>0.181769025367156</v>
      </c>
      <c r="R8" s="43" t="n">
        <f aca="false">IF(((P8)-(F8+IF((P8)&lt;79,INDEX('Frete 2026'!$B$6:$B$11,H8),INDEX('Frete 2026'!$C$6:$G$11,H8,MATCH((P8),'Frete 2026'!$C$5:$G$5,1)))+(P8)*$D$4))/(P8)&gt;=$B$4,P8,IF(((P8+5)-(F8+IF((P8+5)&lt;79,INDEX('Frete 2026'!$B$6:$B$11,H8),INDEX('Frete 2026'!$C$6:$G$11,H8,MATCH((P8+5),'Frete 2026'!$C$5:$G$5,1)))+(P8+5)*$D$4))/(P8+5)&gt;=$B$4,P8+5,P8+10))</f>
        <v>74.9</v>
      </c>
      <c r="S8" s="46" t="n">
        <f aca="false">((R8)-(F8+IF((R8)&lt;79,INDEX('Frete 2026'!$B$6:$B$11,H8),INDEX('Frete 2026'!$C$6:$G$11,H8,MATCH((R8),'Frete 2026'!$C$5:$G$5,1)))+(R8)*$D$4))/(R8)</f>
        <v>0.181769025367156</v>
      </c>
      <c r="T8" s="23" t="n">
        <f aca="false">IF((1-'Taxas 2026'!$C$16-$F$4-$B$4)&lt;=0,"",IF(MAX('Taxas 2026'!$B$16,(F8+'Taxas 2026'!$D$16+Premissas!$B$34)/(1-'Taxas 2026'!$C$16-$F$4-$B$4))&lt;'Taxas 2026'!$B$17,MAX('Taxas 2026'!$B$16,(F8+'Taxas 2026'!$D$16+Premissas!$B$34)/(1-'Taxas 2026'!$C$16-$F$4-$B$4)),""))</f>
        <v>76.1894736842105</v>
      </c>
      <c r="U8" s="23" t="n">
        <f aca="false">IF((1-'Taxas 2026'!$C$17-$F$4-$B$4)&lt;=0,"",IF(MAX('Taxas 2026'!$B$17,(F8+'Taxas 2026'!$D$17+Premissas!$B$34)/(1-'Taxas 2026'!$C$17-$F$4-$B$4))&lt;'Taxas 2026'!$B$18,MAX('Taxas 2026'!$B$17,(F8+'Taxas 2026'!$D$17+Premissas!$B$34)/(1-'Taxas 2026'!$C$17-$F$4-$B$4)),""))</f>
        <v>90.0747663551402</v>
      </c>
      <c r="V8" s="23" t="n">
        <f aca="false">IF((1-'Taxas 2026'!$C$18-$F$4-$B$4)&lt;=0,"",IF(MAX('Taxas 2026'!$B$18,(F8+'Taxas 2026'!$D$18+Premissas!$B$34)/(1-'Taxas 2026'!$C$18-$F$4-$B$4))&lt;'Taxas 2026'!$B$19,MAX('Taxas 2026'!$B$18,(F8+'Taxas 2026'!$D$18+Premissas!$B$34)/(1-'Taxas 2026'!$C$18-$F$4-$B$4)),""))</f>
        <v>100</v>
      </c>
      <c r="W8" s="23" t="n">
        <f aca="false">IF((1-'Taxas 2026'!$C$19-$F$4-$B$4)&lt;=0,"",IF(MAX('Taxas 2026'!$B$19,(F8+'Taxas 2026'!$D$19+Premissas!$B$34)/(1-'Taxas 2026'!$C$19-$F$4-$B$4))&lt;1000000000,MAX('Taxas 2026'!$B$19,(F8+'Taxas 2026'!$D$19+Premissas!$B$34)/(1-'Taxas 2026'!$C$19-$F$4-$B$4)),""))</f>
        <v>200</v>
      </c>
      <c r="X8" s="43" t="n">
        <f aca="false">MIN(T8:W8)</f>
        <v>76.1894736842105</v>
      </c>
      <c r="Y8" s="23" t="n">
        <f aca="false">CEILING(X8-4.9,5)+4.9</f>
        <v>79.9</v>
      </c>
      <c r="Z8" s="46" t="n">
        <f aca="false">((Y8)-(F8+(Y8)*(INDEX('Taxas 2026'!$C$15:$C$19,MATCH((Y8),'Taxas 2026'!$B$15:$B$19,1))+$F$4)+INDEX('Taxas 2026'!$D$15:$D$19,MATCH((Y8),'Taxas 2026'!$B$15:$B$19,1))+Premissas!$B$34))/(Y8)</f>
        <v>0.172058823529412</v>
      </c>
      <c r="AA8" s="43" t="n">
        <f aca="false">IF(((Y8)-(F8+(Y8)*(INDEX('Taxas 2026'!$C$15:$C$19,MATCH((Y8),'Taxas 2026'!$B$15:$B$19,1))+$F$4)+INDEX('Taxas 2026'!$D$15:$D$19,MATCH((Y8),'Taxas 2026'!$B$15:$B$19,1))+Premissas!$B$34))/(Y8)&gt;=$B$4,Y8,IF(((Y8+5)-(F8+(Y8+5)*(INDEX('Taxas 2026'!$C$15:$C$19,MATCH((Y8+5),'Taxas 2026'!$B$15:$B$19,1))+$F$4)+INDEX('Taxas 2026'!$D$15:$D$19,MATCH((Y8+5),'Taxas 2026'!$B$15:$B$19,1))+Premissas!$B$34))/(Y8+5)&gt;=$B$4,Y8+5,Y8+10))</f>
        <v>79.9</v>
      </c>
      <c r="AB8" s="46" t="n">
        <f aca="false">((AA8)-(F8+(AA8)*(INDEX('Taxas 2026'!$C$15:$C$19,MATCH((AA8),'Taxas 2026'!$B$15:$B$19,1))+$F$4)+INDEX('Taxas 2026'!$D$15:$D$19,MATCH((AA8),'Taxas 2026'!$B$15:$B$19,1))+Premissas!$B$34))/(AA8)</f>
        <v>0.172058823529412</v>
      </c>
      <c r="AC8" s="23" t="str">
        <f aca="false">IF((1-'Taxas 2026'!$C$24-$H$4-$B$4)&lt;=0,"",IF(MAX(1,(F8+'Taxas 2026'!$D$24)/(1-'Taxas 2026'!$C$24-$H$4-$B$4))&lt;'Taxas 2026'!$B$25,MAX(1,(F8+'Taxas 2026'!$D$24)/(1-'Taxas 2026'!$C$24-$H$4-$B$4)),""))</f>
        <v/>
      </c>
      <c r="AD8" s="23" t="n">
        <f aca="false">IF((1-'Taxas 2026'!$C$25-$H$4-$B$4)&lt;=0,"",IF(MAX('Taxas 2026'!$B$25,(F8+'Taxas 2026'!$D$25)/(1-'Taxas 2026'!$C$25-$H$4-$B$4))&lt;1000000000,MAX('Taxas 2026'!$B$25,(F8+'Taxas 2026'!$D$25)/(1-'Taxas 2026'!$C$25-$H$4-$B$4)),""))</f>
        <v>87.7931034482759</v>
      </c>
      <c r="AE8" s="43" t="n">
        <f aca="false">MIN(AC8:AD8)</f>
        <v>87.7931034482759</v>
      </c>
      <c r="AF8" s="23" t="n">
        <f aca="false">CEILING(AE8-4.9,5)+4.9</f>
        <v>89.9</v>
      </c>
      <c r="AG8" s="46" t="n">
        <f aca="false">((AF8)-(F8+(AF8)*(INDEX('Taxas 2026'!$C$24:$C$25,MATCH((AF8),'Taxas 2026'!$B$24:$B$25,1))+$H$4)+INDEX('Taxas 2026'!$D$24:$D$25,MATCH((AF8),'Taxas 2026'!$B$24:$B$25,1))))/(AF8)</f>
        <v>0.160194660734149</v>
      </c>
      <c r="AH8" s="43" t="n">
        <f aca="false">IF(((AF8)-(F8+(AF8)*(INDEX('Taxas 2026'!$C$24:$C$25,MATCH((AF8),'Taxas 2026'!$B$24:$B$25,1))+$H$4)+INDEX('Taxas 2026'!$D$24:$D$25,MATCH((AF8),'Taxas 2026'!$B$24:$B$25,1))))/(AF8)&gt;=$B$4,AF8,IF(((AF8+5)-(F8+(AF8+5)*(INDEX('Taxas 2026'!$C$24:$C$25,MATCH((AF8+5),'Taxas 2026'!$B$24:$B$25,1))+$H$4)+INDEX('Taxas 2026'!$D$24:$D$25,MATCH((AF8+5),'Taxas 2026'!$B$24:$B$25,1))))/(AF8+5)&gt;=$B$4,AF8+5,AF8+10))</f>
        <v>89.9</v>
      </c>
      <c r="AI8" s="46" t="n">
        <f aca="false">((AH8)-(F8+(AH8)*(INDEX('Taxas 2026'!$C$24:$C$25,MATCH((AH8),'Taxas 2026'!$B$24:$B$25,1))+$H$4)+INDEX('Taxas 2026'!$D$24:$D$25,MATCH((AH8),'Taxas 2026'!$B$24:$B$25,1))))/(AH8)</f>
        <v>0.160194660734149</v>
      </c>
      <c r="AJ8" s="43" t="n">
        <f aca="false">MAX(1,(F8+Premissas!$B$45+Premissas!$B$48+INDEX('Frete 2026'!$H$6:$H$11,H8))/(1-$J$4-$B$4))</f>
        <v>142.966018111719</v>
      </c>
      <c r="AK8" s="23" t="n">
        <f aca="false">CEILING(AJ8-4.9,5)+4.9</f>
        <v>144.9</v>
      </c>
      <c r="AL8" s="46" t="n">
        <f aca="false">((AK8)-(F8+Premissas!$B$45+Premissas!$B$48+INDEX('Frete 2026'!$H$6:$H$11,H8)+(AK8)*$J$4))/(AK8)</f>
        <v>0.154961973775017</v>
      </c>
      <c r="AM8" s="43" t="n">
        <f aca="false">IF(((AK8)-(F8+Premissas!$B$45+Premissas!$B$48+INDEX('Frete 2026'!$H$6:$H$11,H8)+(AK8)*$J$4))/(AK8)&gt;=$B$4,AK8,IF(((AK8+5)-(F8+Premissas!$B$45+Premissas!$B$48+INDEX('Frete 2026'!$H$6:$H$11,H8)+(AK8+5)*$J$4))/(AK8+5)&gt;=$B$4,AK8+5,AK8+10))</f>
        <v>144.9</v>
      </c>
      <c r="AN8" s="46" t="n">
        <f aca="false">((AM8)-(F8+Premissas!$B$45+Premissas!$B$48+INDEX('Frete 2026'!$H$6:$H$11,H8)+(AM8)*$J$4))/(AM8)</f>
        <v>0.154961973775017</v>
      </c>
    </row>
    <row r="9" customFormat="false" ht="15" hidden="false" customHeight="false" outlineLevel="0" collapsed="false">
      <c r="A9" s="6" t="s">
        <v>121</v>
      </c>
      <c r="B9" s="57" t="n">
        <v>5</v>
      </c>
      <c r="C9" s="20" t="n">
        <f aca="false">MATCH(A9,'Ficha de Custo'!$B$4:$D$4,0)</f>
        <v>1</v>
      </c>
      <c r="D9" s="17" t="n">
        <f aca="false">INDEX('Ficha de Custo'!$B$14:$D$14,C9)</f>
        <v>10.43</v>
      </c>
      <c r="E9" s="17" t="n">
        <f aca="false">INDEX('Ficha de Custo'!$B$18:$D$21,MATCH(B9,'Ficha de Custo'!$A$18:$A$21,0),C9)</f>
        <v>1.1</v>
      </c>
      <c r="F9" s="23" t="n">
        <f aca="false">D9*B9+E9</f>
        <v>53.25</v>
      </c>
      <c r="G9" s="49" t="n">
        <f aca="false">INDEX('Ficha de Custo'!$B$36:$D$39,MATCH(B9,'Ficha de Custo'!$A$36:$A$39,0),C9)</f>
        <v>0.9</v>
      </c>
      <c r="H9" s="20" t="n">
        <f aca="false">MATCH(G9-0.0000001,'Frete 2026'!$A$6:$A$11,1)</f>
        <v>3</v>
      </c>
      <c r="I9" s="23" t="str">
        <f aca="false">IF((1-$D$4-$B$4)&lt;=0,"",IF(MAX(1,(F9+INDEX('Frete 2026'!$B$6:$B$11,H9))/(1-$D$4-$B$4))&lt;79,MAX(1,(F9+INDEX('Frete 2026'!$B$6:$B$11,H9))/(1-$D$4-$B$4)),""))</f>
        <v/>
      </c>
      <c r="J9" s="23" t="str">
        <f aca="false">IF((1-$D$4-$B$4)&lt;=0,"",IF(MAX('Frete 2026'!$C$5,(F9+INDEX('Frete 2026'!$C$6:$C$11,H9))/(1-$D$4-$B$4))&lt;'Frete 2026'!$D$5,MAX('Frete 2026'!$C$5,(F9+INDEX('Frete 2026'!$C$6:$C$11,H9))/(1-$D$4-$B$4)),""))</f>
        <v/>
      </c>
      <c r="K9" s="23" t="str">
        <f aca="false">IF((1-$D$4-$B$4)&lt;=0,"",IF(MAX('Frete 2026'!$D$5,(F9+INDEX('Frete 2026'!$D$6:$D$11,H9))/(1-$D$4-$B$4))&lt;'Frete 2026'!$E$5,MAX('Frete 2026'!$D$5,(F9+INDEX('Frete 2026'!$D$6:$D$11,H9))/(1-$D$4-$B$4)),""))</f>
        <v/>
      </c>
      <c r="L9" s="23" t="n">
        <f aca="false">IF((1-$D$4-$B$4)&lt;=0,"",IF(MAX('Frete 2026'!$E$5,(F9+INDEX('Frete 2026'!$E$6:$E$11,H9))/(1-$D$4-$B$4))&lt;'Frete 2026'!$F$5,MAX('Frete 2026'!$E$5,(F9+INDEX('Frete 2026'!$E$6:$E$11,H9))/(1-$D$4-$B$4)),""))</f>
        <v>128.108108108108</v>
      </c>
      <c r="M9" s="23" t="n">
        <f aca="false">IF((1-$D$4-$B$4)&lt;=0,"",IF(MAX('Frete 2026'!$F$5,(F9+INDEX('Frete 2026'!$F$6:$F$11,H9))/(1-$D$4-$B$4))&lt;'Frete 2026'!$G$5,MAX('Frete 2026'!$F$5,(F9+INDEX('Frete 2026'!$F$6:$F$11,H9))/(1-$D$4-$B$4)),""))</f>
        <v>150</v>
      </c>
      <c r="N9" s="23" t="n">
        <f aca="false">IF((1-$D$4-$B$4)&lt;=0,"",IF(MAX('Frete 2026'!$G$5,(F9+INDEX('Frete 2026'!$G$6:$G$11,H9))/(1-$D$4-$B$4))&lt;1000000000,MAX('Frete 2026'!$G$5,(F9+INDEX('Frete 2026'!$G$6:$G$11,H9))/(1-$D$4-$B$4)),""))</f>
        <v>200</v>
      </c>
      <c r="O9" s="43" t="n">
        <f aca="false">MIN(I9:N9)</f>
        <v>128.108108108108</v>
      </c>
      <c r="P9" s="23" t="n">
        <f aca="false">CEILING(O9-4.9,5)+4.9</f>
        <v>129.9</v>
      </c>
      <c r="Q9" s="46" t="n">
        <f aca="false">((P9)-(F9+IF((P9)&lt;79,INDEX('Frete 2026'!$B$6:$B$11,H9),INDEX('Frete 2026'!$C$6:$G$11,H9,MATCH((P9),'Frete 2026'!$C$5:$G$5,1)))+(P9)*$D$4))/(P9)</f>
        <v>0.157655889145497</v>
      </c>
      <c r="R9" s="43" t="n">
        <f aca="false">IF(((P9)-(F9+IF((P9)&lt;79,INDEX('Frete 2026'!$B$6:$B$11,H9),INDEX('Frete 2026'!$C$6:$G$11,H9,MATCH((P9),'Frete 2026'!$C$5:$G$5,1)))+(P9)*$D$4))/(P9)&gt;=$B$4,P9,IF(((P9+5)-(F9+IF((P9+5)&lt;79,INDEX('Frete 2026'!$B$6:$B$11,H9),INDEX('Frete 2026'!$C$6:$G$11,H9,MATCH((P9+5),'Frete 2026'!$C$5:$G$5,1)))+(P9+5)*$D$4))/(P9+5)&gt;=$B$4,P9+5,P9+10))</f>
        <v>129.9</v>
      </c>
      <c r="S9" s="46" t="n">
        <f aca="false">((R9)-(F9+IF((R9)&lt;79,INDEX('Frete 2026'!$B$6:$B$11,H9),INDEX('Frete 2026'!$C$6:$G$11,H9,MATCH((R9),'Frete 2026'!$C$5:$G$5,1)))+(R9)*$D$4))/(R9)</f>
        <v>0.157655889145497</v>
      </c>
      <c r="T9" s="23" t="str">
        <f aca="false">IF((1-'Taxas 2026'!$C$16-$F$4-$B$4)&lt;=0,"",IF(MAX('Taxas 2026'!$B$16,(F9+'Taxas 2026'!$D$16+Premissas!$B$34)/(1-'Taxas 2026'!$C$16-$F$4-$B$4))&lt;'Taxas 2026'!$B$17,MAX('Taxas 2026'!$B$16,(F9+'Taxas 2026'!$D$16+Premissas!$B$34)/(1-'Taxas 2026'!$C$16-$F$4-$B$4)),""))</f>
        <v/>
      </c>
      <c r="U9" s="23" t="str">
        <f aca="false">IF((1-'Taxas 2026'!$C$17-$F$4-$B$4)&lt;=0,"",IF(MAX('Taxas 2026'!$B$17,(F9+'Taxas 2026'!$D$17+Premissas!$B$34)/(1-'Taxas 2026'!$C$17-$F$4-$B$4))&lt;'Taxas 2026'!$B$18,MAX('Taxas 2026'!$B$17,(F9+'Taxas 2026'!$D$17+Premissas!$B$34)/(1-'Taxas 2026'!$C$17-$F$4-$B$4)),""))</f>
        <v/>
      </c>
      <c r="V9" s="23" t="n">
        <f aca="false">IF((1-'Taxas 2026'!$C$18-$F$4-$B$4)&lt;=0,"",IF(MAX('Taxas 2026'!$B$18,(F9+'Taxas 2026'!$D$18+Premissas!$B$34)/(1-'Taxas 2026'!$C$18-$F$4-$B$4))&lt;'Taxas 2026'!$B$19,MAX('Taxas 2026'!$B$18,(F9+'Taxas 2026'!$D$18+Premissas!$B$34)/(1-'Taxas 2026'!$C$18-$F$4-$B$4)),""))</f>
        <v>136.915887850467</v>
      </c>
      <c r="W9" s="23" t="n">
        <f aca="false">IF((1-'Taxas 2026'!$C$19-$F$4-$B$4)&lt;=0,"",IF(MAX('Taxas 2026'!$B$19,(F9+'Taxas 2026'!$D$19+Premissas!$B$34)/(1-'Taxas 2026'!$C$19-$F$4-$B$4))&lt;1000000000,MAX('Taxas 2026'!$B$19,(F9+'Taxas 2026'!$D$19+Premissas!$B$34)/(1-'Taxas 2026'!$C$19-$F$4-$B$4)),""))</f>
        <v>200</v>
      </c>
      <c r="X9" s="43" t="n">
        <f aca="false">MIN(T9:W9)</f>
        <v>136.915887850467</v>
      </c>
      <c r="Y9" s="23" t="n">
        <f aca="false">CEILING(X9-4.9,5)+4.9</f>
        <v>139.9</v>
      </c>
      <c r="Z9" s="46" t="n">
        <f aca="false">((Y9)-(F9+(Y9)*(INDEX('Taxas 2026'!$C$15:$C$19,MATCH((Y9),'Taxas 2026'!$B$15:$B$19,1))+$F$4)+INDEX('Taxas 2026'!$D$15:$D$19,MATCH((Y9),'Taxas 2026'!$B$15:$B$19,1))+Premissas!$B$34))/(Y9)</f>
        <v>0.161411722659042</v>
      </c>
      <c r="AA9" s="43" t="n">
        <f aca="false">IF(((Y9)-(F9+(Y9)*(INDEX('Taxas 2026'!$C$15:$C$19,MATCH((Y9),'Taxas 2026'!$B$15:$B$19,1))+$F$4)+INDEX('Taxas 2026'!$D$15:$D$19,MATCH((Y9),'Taxas 2026'!$B$15:$B$19,1))+Premissas!$B$34))/(Y9)&gt;=$B$4,Y9,IF(((Y9+5)-(F9+(Y9+5)*(INDEX('Taxas 2026'!$C$15:$C$19,MATCH((Y9+5),'Taxas 2026'!$B$15:$B$19,1))+$F$4)+INDEX('Taxas 2026'!$D$15:$D$19,MATCH((Y9+5),'Taxas 2026'!$B$15:$B$19,1))+Premissas!$B$34))/(Y9+5)&gt;=$B$4,Y9+5,Y9+10))</f>
        <v>139.9</v>
      </c>
      <c r="AB9" s="46" t="n">
        <f aca="false">((AA9)-(F9+(AA9)*(INDEX('Taxas 2026'!$C$15:$C$19,MATCH((AA9),'Taxas 2026'!$B$15:$B$19,1))+$F$4)+INDEX('Taxas 2026'!$D$15:$D$19,MATCH((AA9),'Taxas 2026'!$B$15:$B$19,1))+Premissas!$B$34))/(AA9)</f>
        <v>0.161411722659042</v>
      </c>
      <c r="AC9" s="23" t="str">
        <f aca="false">IF((1-'Taxas 2026'!$C$24-$H$4-$B$4)&lt;=0,"",IF(MAX(1,(F9+'Taxas 2026'!$D$24)/(1-'Taxas 2026'!$C$24-$H$4-$B$4))&lt;'Taxas 2026'!$B$25,MAX(1,(F9+'Taxas 2026'!$D$24)/(1-'Taxas 2026'!$C$24-$H$4-$B$4)),""))</f>
        <v/>
      </c>
      <c r="AD9" s="23" t="n">
        <f aca="false">IF((1-'Taxas 2026'!$C$25-$H$4-$B$4)&lt;=0,"",IF(MAX('Taxas 2026'!$B$25,(F9+'Taxas 2026'!$D$25)/(1-'Taxas 2026'!$C$25-$H$4-$B$4))&lt;1000000000,MAX('Taxas 2026'!$B$25,(F9+'Taxas 2026'!$D$25)/(1-'Taxas 2026'!$C$25-$H$4-$B$4)),""))</f>
        <v>136.206896551724</v>
      </c>
      <c r="AE9" s="43" t="n">
        <f aca="false">MIN(AC9:AD9)</f>
        <v>136.206896551724</v>
      </c>
      <c r="AF9" s="23" t="n">
        <f aca="false">CEILING(AE9-4.9,5)+4.9</f>
        <v>139.9</v>
      </c>
      <c r="AG9" s="46" t="n">
        <f aca="false">((AF9)-(F9+(AF9)*(INDEX('Taxas 2026'!$C$24:$C$25,MATCH((AF9),'Taxas 2026'!$B$24:$B$25,1))+$H$4)+INDEX('Taxas 2026'!$D$24:$D$25,MATCH((AF9),'Taxas 2026'!$B$24:$B$25,1))))/(AF9)</f>
        <v>0.161483202287348</v>
      </c>
      <c r="AH9" s="43" t="n">
        <f aca="false">IF(((AF9)-(F9+(AF9)*(INDEX('Taxas 2026'!$C$24:$C$25,MATCH((AF9),'Taxas 2026'!$B$24:$B$25,1))+$H$4)+INDEX('Taxas 2026'!$D$24:$D$25,MATCH((AF9),'Taxas 2026'!$B$24:$B$25,1))))/(AF9)&gt;=$B$4,AF9,IF(((AF9+5)-(F9+(AF9+5)*(INDEX('Taxas 2026'!$C$24:$C$25,MATCH((AF9+5),'Taxas 2026'!$B$24:$B$25,1))+$H$4)+INDEX('Taxas 2026'!$D$24:$D$25,MATCH((AF9+5),'Taxas 2026'!$B$24:$B$25,1))))/(AF9+5)&gt;=$B$4,AF9+5,AF9+10))</f>
        <v>139.9</v>
      </c>
      <c r="AI9" s="46" t="n">
        <f aca="false">((AH9)-(F9+(AH9)*(INDEX('Taxas 2026'!$C$24:$C$25,MATCH((AH9),'Taxas 2026'!$B$24:$B$25,1))+$H$4)+INDEX('Taxas 2026'!$D$24:$D$25,MATCH((AH9),'Taxas 2026'!$B$24:$B$25,1))))/(AH9)</f>
        <v>0.161483202287348</v>
      </c>
      <c r="AJ9" s="43" t="n">
        <f aca="false">MAX(1,(F9+Premissas!$B$45+Premissas!$B$48+INDEX('Frete 2026'!$H$6:$H$11,H9))/(1-$J$4-$B$4))</f>
        <v>199.614453510266</v>
      </c>
      <c r="AK9" s="23" t="n">
        <f aca="false">CEILING(AJ9-4.9,5)+4.9</f>
        <v>199.9</v>
      </c>
      <c r="AL9" s="46" t="n">
        <f aca="false">((AK9)-(F9+Premissas!$B$45+Premissas!$B$48+INDEX('Frete 2026'!$H$6:$H$11,H9)+(AK9)*$J$4))/(AK9)</f>
        <v>0.150531048857762</v>
      </c>
      <c r="AM9" s="43" t="n">
        <f aca="false">IF(((AK9)-(F9+Premissas!$B$45+Premissas!$B$48+INDEX('Frete 2026'!$H$6:$H$11,H9)+(AK9)*$J$4))/(AK9)&gt;=$B$4,AK9,IF(((AK9+5)-(F9+Premissas!$B$45+Premissas!$B$48+INDEX('Frete 2026'!$H$6:$H$11,H9)+(AK9+5)*$J$4))/(AK9+5)&gt;=$B$4,AK9+5,AK9+10))</f>
        <v>199.9</v>
      </c>
      <c r="AN9" s="46" t="n">
        <f aca="false">((AM9)-(F9+Premissas!$B$45+Premissas!$B$48+INDEX('Frete 2026'!$H$6:$H$11,H9)+(AM9)*$J$4))/(AM9)</f>
        <v>0.150531048857762</v>
      </c>
    </row>
    <row r="10" customFormat="false" ht="15" hidden="false" customHeight="false" outlineLevel="0" collapsed="false">
      <c r="A10" s="6" t="s">
        <v>121</v>
      </c>
      <c r="B10" s="57" t="n">
        <v>10</v>
      </c>
      <c r="C10" s="20" t="n">
        <f aca="false">MATCH(A10,'Ficha de Custo'!$B$4:$D$4,0)</f>
        <v>1</v>
      </c>
      <c r="D10" s="17" t="n">
        <f aca="false">INDEX('Ficha de Custo'!$B$14:$D$14,C10)</f>
        <v>10.43</v>
      </c>
      <c r="E10" s="17" t="n">
        <f aca="false">INDEX('Ficha de Custo'!$B$18:$D$21,MATCH(B10,'Ficha de Custo'!$A$18:$A$21,0),C10)</f>
        <v>1.6</v>
      </c>
      <c r="F10" s="23" t="n">
        <f aca="false">D10*B10+E10</f>
        <v>105.9</v>
      </c>
      <c r="G10" s="49" t="n">
        <f aca="false">INDEX('Ficha de Custo'!$B$36:$D$39,MATCH(B10,'Ficha de Custo'!$A$36:$A$39,0),C10)</f>
        <v>1.74</v>
      </c>
      <c r="H10" s="20" t="n">
        <f aca="false">MATCH(G10-0.0000001,'Frete 2026'!$A$6:$A$11,1)</f>
        <v>5</v>
      </c>
      <c r="I10" s="23" t="str">
        <f aca="false">IF((1-$D$4-$B$4)&lt;=0,"",IF(MAX(1,(F10+INDEX('Frete 2026'!$B$6:$B$11,H10))/(1-$D$4-$B$4))&lt;79,MAX(1,(F10+INDEX('Frete 2026'!$B$6:$B$11,H10))/(1-$D$4-$B$4)),""))</f>
        <v/>
      </c>
      <c r="J10" s="23" t="str">
        <f aca="false">IF((1-$D$4-$B$4)&lt;=0,"",IF(MAX('Frete 2026'!$C$5,(F10+INDEX('Frete 2026'!$C$6:$C$11,H10))/(1-$D$4-$B$4))&lt;'Frete 2026'!$D$5,MAX('Frete 2026'!$C$5,(F10+INDEX('Frete 2026'!$C$6:$C$11,H10))/(1-$D$4-$B$4)),""))</f>
        <v/>
      </c>
      <c r="K10" s="23" t="str">
        <f aca="false">IF((1-$D$4-$B$4)&lt;=0,"",IF(MAX('Frete 2026'!$D$5,(F10+INDEX('Frete 2026'!$D$6:$D$11,H10))/(1-$D$4-$B$4))&lt;'Frete 2026'!$E$5,MAX('Frete 2026'!$D$5,(F10+INDEX('Frete 2026'!$D$6:$D$11,H10))/(1-$D$4-$B$4)),""))</f>
        <v/>
      </c>
      <c r="L10" s="23" t="str">
        <f aca="false">IF((1-$D$4-$B$4)&lt;=0,"",IF(MAX('Frete 2026'!$E$5,(F10+INDEX('Frete 2026'!$E$6:$E$11,H10))/(1-$D$4-$B$4))&lt;'Frete 2026'!$F$5,MAX('Frete 2026'!$E$5,(F10+INDEX('Frete 2026'!$E$6:$E$11,H10))/(1-$D$4-$B$4)),""))</f>
        <v/>
      </c>
      <c r="M10" s="23" t="str">
        <f aca="false">IF((1-$D$4-$B$4)&lt;=0,"",IF(MAX('Frete 2026'!$F$5,(F10+INDEX('Frete 2026'!$F$6:$F$11,H10))/(1-$D$4-$B$4))&lt;'Frete 2026'!$G$5,MAX('Frete 2026'!$F$5,(F10+INDEX('Frete 2026'!$F$6:$F$11,H10))/(1-$D$4-$B$4)),""))</f>
        <v/>
      </c>
      <c r="N10" s="23" t="n">
        <f aca="false">IF((1-$D$4-$B$4)&lt;=0,"",IF(MAX('Frete 2026'!$G$5,(F10+INDEX('Frete 2026'!$G$6:$G$11,H10))/(1-$D$4-$B$4))&lt;1000000000,MAX('Frete 2026'!$G$5,(F10+INDEX('Frete 2026'!$G$6:$G$11,H10))/(1-$D$4-$B$4)),""))</f>
        <v>235.225225225225</v>
      </c>
      <c r="O10" s="43" t="n">
        <f aca="false">MIN(I10:N10)</f>
        <v>235.225225225225</v>
      </c>
      <c r="P10" s="23" t="n">
        <f aca="false">CEILING(O10-4.9,5)+4.9</f>
        <v>239.9</v>
      </c>
      <c r="Q10" s="46" t="n">
        <f aca="false">((P10)-(F10+IF((P10)&lt;79,INDEX('Frete 2026'!$B$6:$B$11,H10),INDEX('Frete 2026'!$C$6:$G$11,H10,MATCH((P10),'Frete 2026'!$C$5:$G$5,1)))+(P10)*$D$4))/(P10)</f>
        <v>0.160814922884535</v>
      </c>
      <c r="R10" s="43" t="n">
        <f aca="false">IF(((P10)-(F10+IF((P10)&lt;79,INDEX('Frete 2026'!$B$6:$B$11,H10),INDEX('Frete 2026'!$C$6:$G$11,H10,MATCH((P10),'Frete 2026'!$C$5:$G$5,1)))+(P10)*$D$4))/(P10)&gt;=$B$4,P10,IF(((P10+5)-(F10+IF((P10+5)&lt;79,INDEX('Frete 2026'!$B$6:$B$11,H10),INDEX('Frete 2026'!$C$6:$G$11,H10,MATCH((P10+5),'Frete 2026'!$C$5:$G$5,1)))+(P10+5)*$D$4))/(P10+5)&gt;=$B$4,P10+5,P10+10))</f>
        <v>239.9</v>
      </c>
      <c r="S10" s="46" t="n">
        <f aca="false">((R10)-(F10+IF((R10)&lt;79,INDEX('Frete 2026'!$B$6:$B$11,H10),INDEX('Frete 2026'!$C$6:$G$11,H10,MATCH((R10),'Frete 2026'!$C$5:$G$5,1)))+(R10)*$D$4))/(R10)</f>
        <v>0.160814922884535</v>
      </c>
      <c r="T10" s="23" t="str">
        <f aca="false">IF((1-'Taxas 2026'!$C$16-$F$4-$B$4)&lt;=0,"",IF(MAX('Taxas 2026'!$B$16,(F10+'Taxas 2026'!$D$16+Premissas!$B$34)/(1-'Taxas 2026'!$C$16-$F$4-$B$4))&lt;'Taxas 2026'!$B$17,MAX('Taxas 2026'!$B$16,(F10+'Taxas 2026'!$D$16+Premissas!$B$34)/(1-'Taxas 2026'!$C$16-$F$4-$B$4)),""))</f>
        <v/>
      </c>
      <c r="U10" s="23" t="str">
        <f aca="false">IF((1-'Taxas 2026'!$C$17-$F$4-$B$4)&lt;=0,"",IF(MAX('Taxas 2026'!$B$17,(F10+'Taxas 2026'!$D$17+Premissas!$B$34)/(1-'Taxas 2026'!$C$17-$F$4-$B$4))&lt;'Taxas 2026'!$B$18,MAX('Taxas 2026'!$B$17,(F10+'Taxas 2026'!$D$17+Premissas!$B$34)/(1-'Taxas 2026'!$C$17-$F$4-$B$4)),""))</f>
        <v/>
      </c>
      <c r="V10" s="23" t="str">
        <f aca="false">IF((1-'Taxas 2026'!$C$18-$F$4-$B$4)&lt;=0,"",IF(MAX('Taxas 2026'!$B$18,(F10+'Taxas 2026'!$D$18+Premissas!$B$34)/(1-'Taxas 2026'!$C$18-$F$4-$B$4))&lt;'Taxas 2026'!$B$19,MAX('Taxas 2026'!$B$18,(F10+'Taxas 2026'!$D$18+Premissas!$B$34)/(1-'Taxas 2026'!$C$18-$F$4-$B$4)),""))</f>
        <v/>
      </c>
      <c r="W10" s="23" t="n">
        <f aca="false">IF((1-'Taxas 2026'!$C$19-$F$4-$B$4)&lt;=0,"",IF(MAX('Taxas 2026'!$B$19,(F10+'Taxas 2026'!$D$19+Premissas!$B$34)/(1-'Taxas 2026'!$C$19-$F$4-$B$4))&lt;1000000000,MAX('Taxas 2026'!$B$19,(F10+'Taxas 2026'!$D$19+Premissas!$B$34)/(1-'Taxas 2026'!$C$19-$F$4-$B$4)),""))</f>
        <v>246.542056074766</v>
      </c>
      <c r="X10" s="43" t="n">
        <f aca="false">MIN(T10:W10)</f>
        <v>246.542056074766</v>
      </c>
      <c r="Y10" s="23" t="n">
        <f aca="false">CEILING(X10-4.9,5)+4.9</f>
        <v>249.9</v>
      </c>
      <c r="Z10" s="46" t="n">
        <f aca="false">((Y10)-(F10+(Y10)*(INDEX('Taxas 2026'!$C$15:$C$19,MATCH((Y10),'Taxas 2026'!$B$15:$B$19,1))+$F$4)+INDEX('Taxas 2026'!$D$15:$D$19,MATCH((Y10),'Taxas 2026'!$B$15:$B$19,1))+Premissas!$B$34))/(Y10)</f>
        <v>0.15718887555022</v>
      </c>
      <c r="AA10" s="43" t="n">
        <f aca="false">IF(((Y10)-(F10+(Y10)*(INDEX('Taxas 2026'!$C$15:$C$19,MATCH((Y10),'Taxas 2026'!$B$15:$B$19,1))+$F$4)+INDEX('Taxas 2026'!$D$15:$D$19,MATCH((Y10),'Taxas 2026'!$B$15:$B$19,1))+Premissas!$B$34))/(Y10)&gt;=$B$4,Y10,IF(((Y10+5)-(F10+(Y10+5)*(INDEX('Taxas 2026'!$C$15:$C$19,MATCH((Y10+5),'Taxas 2026'!$B$15:$B$19,1))+$F$4)+INDEX('Taxas 2026'!$D$15:$D$19,MATCH((Y10+5),'Taxas 2026'!$B$15:$B$19,1))+Premissas!$B$34))/(Y10+5)&gt;=$B$4,Y10+5,Y10+10))</f>
        <v>249.9</v>
      </c>
      <c r="AB10" s="46" t="n">
        <f aca="false">((AA10)-(F10+(AA10)*(INDEX('Taxas 2026'!$C$15:$C$19,MATCH((AA10),'Taxas 2026'!$B$15:$B$19,1))+$F$4)+INDEX('Taxas 2026'!$D$15:$D$19,MATCH((AA10),'Taxas 2026'!$B$15:$B$19,1))+Premissas!$B$34))/(AA10)</f>
        <v>0.15718887555022</v>
      </c>
      <c r="AC10" s="23" t="str">
        <f aca="false">IF((1-'Taxas 2026'!$C$24-$H$4-$B$4)&lt;=0,"",IF(MAX(1,(F10+'Taxas 2026'!$D$24)/(1-'Taxas 2026'!$C$24-$H$4-$B$4))&lt;'Taxas 2026'!$B$25,MAX(1,(F10+'Taxas 2026'!$D$24)/(1-'Taxas 2026'!$C$24-$H$4-$B$4)),""))</f>
        <v/>
      </c>
      <c r="AD10" s="23" t="n">
        <f aca="false">IF((1-'Taxas 2026'!$C$25-$H$4-$B$4)&lt;=0,"",IF(MAX('Taxas 2026'!$B$25,(F10+'Taxas 2026'!$D$25)/(1-'Taxas 2026'!$C$25-$H$4-$B$4))&lt;1000000000,MAX('Taxas 2026'!$B$25,(F10+'Taxas 2026'!$D$25)/(1-'Taxas 2026'!$C$25-$H$4-$B$4)),""))</f>
        <v>257.241379310345</v>
      </c>
      <c r="AE10" s="43" t="n">
        <f aca="false">MIN(AC10:AD10)</f>
        <v>257.241379310345</v>
      </c>
      <c r="AF10" s="23" t="n">
        <f aca="false">CEILING(AE10-4.9,5)+4.9</f>
        <v>259.9</v>
      </c>
      <c r="AG10" s="46" t="n">
        <f aca="false">((AF10)-(F10+(AF10)*(INDEX('Taxas 2026'!$C$24:$C$25,MATCH((AF10),'Taxas 2026'!$B$24:$B$25,1))+$H$4)+INDEX('Taxas 2026'!$D$24:$D$25,MATCH((AF10),'Taxas 2026'!$B$24:$B$25,1))))/(AF10)</f>
        <v>0.154449788380146</v>
      </c>
      <c r="AH10" s="43" t="n">
        <f aca="false">IF(((AF10)-(F10+(AF10)*(INDEX('Taxas 2026'!$C$24:$C$25,MATCH((AF10),'Taxas 2026'!$B$24:$B$25,1))+$H$4)+INDEX('Taxas 2026'!$D$24:$D$25,MATCH((AF10),'Taxas 2026'!$B$24:$B$25,1))))/(AF10)&gt;=$B$4,AF10,IF(((AF10+5)-(F10+(AF10+5)*(INDEX('Taxas 2026'!$C$24:$C$25,MATCH((AF10+5),'Taxas 2026'!$B$24:$B$25,1))+$H$4)+INDEX('Taxas 2026'!$D$24:$D$25,MATCH((AF10+5),'Taxas 2026'!$B$24:$B$25,1))))/(AF10+5)&gt;=$B$4,AF10+5,AF10+10))</f>
        <v>259.9</v>
      </c>
      <c r="AI10" s="46" t="n">
        <f aca="false">((AH10)-(F10+(AH10)*(INDEX('Taxas 2026'!$C$24:$C$25,MATCH((AH10),'Taxas 2026'!$B$24:$B$25,1))+$H$4)+INDEX('Taxas 2026'!$D$24:$D$25,MATCH((AH10),'Taxas 2026'!$B$24:$B$25,1))))/(AH10)</f>
        <v>0.154449788380146</v>
      </c>
      <c r="AJ10" s="43" t="n">
        <f aca="false">MAX(1,(F10+Premissas!$B$45+Premissas!$B$48+INDEX('Frete 2026'!$H$6:$H$11,H10))/(1-$J$4-$B$4))</f>
        <v>357.374697390837</v>
      </c>
      <c r="AK10" s="23" t="n">
        <f aca="false">CEILING(AJ10-4.9,5)+4.9</f>
        <v>359.9</v>
      </c>
      <c r="AL10" s="46" t="n">
        <f aca="false">((AK10)-(F10+Premissas!$B$45+Premissas!$B$48+INDEX('Frete 2026'!$H$6:$H$11,H10)+(AK10)*$J$4))/(AK10)</f>
        <v>0.152608567194591</v>
      </c>
      <c r="AM10" s="43" t="n">
        <f aca="false">IF(((AK10)-(F10+Premissas!$B$45+Premissas!$B$48+INDEX('Frete 2026'!$H$6:$H$11,H10)+(AK10)*$J$4))/(AK10)&gt;=$B$4,AK10,IF(((AK10+5)-(F10+Premissas!$B$45+Premissas!$B$48+INDEX('Frete 2026'!$H$6:$H$11,H10)+(AK10+5)*$J$4))/(AK10+5)&gt;=$B$4,AK10+5,AK10+10))</f>
        <v>359.9</v>
      </c>
      <c r="AN10" s="46" t="n">
        <f aca="false">((AM10)-(F10+Premissas!$B$45+Premissas!$B$48+INDEX('Frete 2026'!$H$6:$H$11,H10)+(AM10)*$J$4))/(AM10)</f>
        <v>0.152608567194591</v>
      </c>
    </row>
    <row r="11" customFormat="false" ht="15" hidden="false" customHeight="false" outlineLevel="0" collapsed="false">
      <c r="A11" s="6" t="s">
        <v>56</v>
      </c>
      <c r="B11" s="57" t="n">
        <v>1</v>
      </c>
      <c r="C11" s="20" t="n">
        <f aca="false">MATCH(A11,'Ficha de Custo'!$B$4:$D$4,0)</f>
        <v>2</v>
      </c>
      <c r="D11" s="17" t="n">
        <f aca="false">INDEX('Ficha de Custo'!$B$14:$D$14,C11)</f>
        <v>20.52</v>
      </c>
      <c r="E11" s="17" t="n">
        <f aca="false">INDEX('Ficha de Custo'!$B$18:$D$21,MATCH(B11,'Ficha de Custo'!$A$18:$A$21,0),C11)</f>
        <v>1.5</v>
      </c>
      <c r="F11" s="23" t="n">
        <f aca="false">D11*B11+E11</f>
        <v>22.02</v>
      </c>
      <c r="G11" s="49" t="n">
        <f aca="false">INDEX('Ficha de Custo'!$B$36:$D$39,MATCH(B11,'Ficha de Custo'!$A$36:$A$39,0),C11)</f>
        <v>0.23</v>
      </c>
      <c r="H11" s="20" t="n">
        <f aca="false">MATCH(G11-0.0000001,'Frete 2026'!$A$6:$A$11,1)</f>
        <v>1</v>
      </c>
      <c r="I11" s="23" t="n">
        <f aca="false">IF((1-$D$4-$B$4)&lt;=0,"",IF(MAX(1,(F11+INDEX('Frete 2026'!$B$6:$B$11,H11))/(1-$D$4-$B$4))&lt;79,MAX(1,(F11+INDEX('Frete 2026'!$B$6:$B$11,H11))/(1-$D$4-$B$4)),""))</f>
        <v>51.3873873873874</v>
      </c>
      <c r="J11" s="23" t="n">
        <f aca="false">IF((1-$D$4-$B$4)&lt;=0,"",IF(MAX('Frete 2026'!$C$5,(F11+INDEX('Frete 2026'!$C$6:$C$11,H11))/(1-$D$4-$B$4))&lt;'Frete 2026'!$D$5,MAX('Frete 2026'!$C$5,(F11+INDEX('Frete 2026'!$C$6:$C$11,H11))/(1-$D$4-$B$4)),""))</f>
        <v>79</v>
      </c>
      <c r="K11" s="23" t="n">
        <f aca="false">IF((1-$D$4-$B$4)&lt;=0,"",IF(MAX('Frete 2026'!$D$5,(F11+INDEX('Frete 2026'!$D$6:$D$11,H11))/(1-$D$4-$B$4))&lt;'Frete 2026'!$E$5,MAX('Frete 2026'!$D$5,(F11+INDEX('Frete 2026'!$D$6:$D$11,H11))/(1-$D$4-$B$4)),""))</f>
        <v>100</v>
      </c>
      <c r="L11" s="23" t="n">
        <f aca="false">IF((1-$D$4-$B$4)&lt;=0,"",IF(MAX('Frete 2026'!$E$5,(F11+INDEX('Frete 2026'!$E$6:$E$11,H11))/(1-$D$4-$B$4))&lt;'Frete 2026'!$F$5,MAX('Frete 2026'!$E$5,(F11+INDEX('Frete 2026'!$E$6:$E$11,H11))/(1-$D$4-$B$4)),""))</f>
        <v>120</v>
      </c>
      <c r="M11" s="23" t="n">
        <f aca="false">IF((1-$D$4-$B$4)&lt;=0,"",IF(MAX('Frete 2026'!$F$5,(F11+INDEX('Frete 2026'!$F$6:$F$11,H11))/(1-$D$4-$B$4))&lt;'Frete 2026'!$G$5,MAX('Frete 2026'!$F$5,(F11+INDEX('Frete 2026'!$F$6:$F$11,H11))/(1-$D$4-$B$4)),""))</f>
        <v>150</v>
      </c>
      <c r="N11" s="23" t="n">
        <f aca="false">IF((1-$D$4-$B$4)&lt;=0,"",IF(MAX('Frete 2026'!$G$5,(F11+INDEX('Frete 2026'!$G$6:$G$11,H11))/(1-$D$4-$B$4))&lt;1000000000,MAX('Frete 2026'!$G$5,(F11+INDEX('Frete 2026'!$G$6:$G$11,H11))/(1-$D$4-$B$4)),""))</f>
        <v>200</v>
      </c>
      <c r="O11" s="43" t="n">
        <f aca="false">MIN(I11:N11)</f>
        <v>51.3873873873874</v>
      </c>
      <c r="P11" s="23" t="n">
        <f aca="false">CEILING(O11-4.9,5)+4.9</f>
        <v>54.9</v>
      </c>
      <c r="Q11" s="46" t="n">
        <f aca="false">((P11)-(F11+IF((P11)&lt;79,INDEX('Frete 2026'!$B$6:$B$11,H11),INDEX('Frete 2026'!$C$6:$G$11,H11,MATCH((P11),'Frete 2026'!$C$5:$G$5,1)))+(P11)*$D$4))/(P11)</f>
        <v>0.185510018214936</v>
      </c>
      <c r="R11" s="43" t="n">
        <f aca="false">IF(((P11)-(F11+IF((P11)&lt;79,INDEX('Frete 2026'!$B$6:$B$11,H11),INDEX('Frete 2026'!$C$6:$G$11,H11,MATCH((P11),'Frete 2026'!$C$5:$G$5,1)))+(P11)*$D$4))/(P11)&gt;=$B$4,P11,IF(((P11+5)-(F11+IF((P11+5)&lt;79,INDEX('Frete 2026'!$B$6:$B$11,H11),INDEX('Frete 2026'!$C$6:$G$11,H11,MATCH((P11+5),'Frete 2026'!$C$5:$G$5,1)))+(P11+5)*$D$4))/(P11+5)&gt;=$B$4,P11+5,P11+10))</f>
        <v>54.9</v>
      </c>
      <c r="S11" s="46" t="n">
        <f aca="false">((R11)-(F11+IF((R11)&lt;79,INDEX('Frete 2026'!$B$6:$B$11,H11),INDEX('Frete 2026'!$C$6:$G$11,H11,MATCH((R11),'Frete 2026'!$C$5:$G$5,1)))+(R11)*$D$4))/(R11)</f>
        <v>0.185510018214936</v>
      </c>
      <c r="T11" s="23" t="n">
        <f aca="false">IF((1-'Taxas 2026'!$C$16-$F$4-$B$4)&lt;=0,"",IF(MAX('Taxas 2026'!$B$16,(F11+'Taxas 2026'!$D$16+Premissas!$B$34)/(1-'Taxas 2026'!$C$16-$F$4-$B$4))&lt;'Taxas 2026'!$B$17,MAX('Taxas 2026'!$B$16,(F11+'Taxas 2026'!$D$16+Premissas!$B$34)/(1-'Taxas 2026'!$C$16-$F$4-$B$4)),""))</f>
        <v>54.7789473684211</v>
      </c>
      <c r="U11" s="23" t="n">
        <f aca="false">IF((1-'Taxas 2026'!$C$17-$F$4-$B$4)&lt;=0,"",IF(MAX('Taxas 2026'!$B$17,(F11+'Taxas 2026'!$D$17+Premissas!$B$34)/(1-'Taxas 2026'!$C$17-$F$4-$B$4))&lt;'Taxas 2026'!$B$18,MAX('Taxas 2026'!$B$17,(F11+'Taxas 2026'!$D$17+Premissas!$B$34)/(1-'Taxas 2026'!$C$17-$F$4-$B$4)),""))</f>
        <v>80</v>
      </c>
      <c r="V11" s="23" t="n">
        <f aca="false">IF((1-'Taxas 2026'!$C$18-$F$4-$B$4)&lt;=0,"",IF(MAX('Taxas 2026'!$B$18,(F11+'Taxas 2026'!$D$18+Premissas!$B$34)/(1-'Taxas 2026'!$C$18-$F$4-$B$4))&lt;'Taxas 2026'!$B$19,MAX('Taxas 2026'!$B$18,(F11+'Taxas 2026'!$D$18+Premissas!$B$34)/(1-'Taxas 2026'!$C$18-$F$4-$B$4)),""))</f>
        <v>100</v>
      </c>
      <c r="W11" s="23" t="n">
        <f aca="false">IF((1-'Taxas 2026'!$C$19-$F$4-$B$4)&lt;=0,"",IF(MAX('Taxas 2026'!$B$19,(F11+'Taxas 2026'!$D$19+Premissas!$B$34)/(1-'Taxas 2026'!$C$19-$F$4-$B$4))&lt;1000000000,MAX('Taxas 2026'!$B$19,(F11+'Taxas 2026'!$D$19+Premissas!$B$34)/(1-'Taxas 2026'!$C$19-$F$4-$B$4)),""))</f>
        <v>200</v>
      </c>
      <c r="X11" s="43" t="n">
        <f aca="false">MIN(T11:W11)</f>
        <v>54.7789473684211</v>
      </c>
      <c r="Y11" s="23" t="n">
        <f aca="false">CEILING(X11-4.9,5)+4.9</f>
        <v>54.9</v>
      </c>
      <c r="Z11" s="46" t="n">
        <f aca="false">((Y11)-(F11+(Y11)*(INDEX('Taxas 2026'!$C$15:$C$19,MATCH((Y11),'Taxas 2026'!$B$15:$B$19,1))+$F$4)+INDEX('Taxas 2026'!$D$15:$D$19,MATCH((Y11),'Taxas 2026'!$B$15:$B$19,1))+Premissas!$B$34))/(Y11)</f>
        <v>0.151047358834244</v>
      </c>
      <c r="AA11" s="43" t="n">
        <f aca="false">IF(((Y11)-(F11+(Y11)*(INDEX('Taxas 2026'!$C$15:$C$19,MATCH((Y11),'Taxas 2026'!$B$15:$B$19,1))+$F$4)+INDEX('Taxas 2026'!$D$15:$D$19,MATCH((Y11),'Taxas 2026'!$B$15:$B$19,1))+Premissas!$B$34))/(Y11)&gt;=$B$4,Y11,IF(((Y11+5)-(F11+(Y11+5)*(INDEX('Taxas 2026'!$C$15:$C$19,MATCH((Y11+5),'Taxas 2026'!$B$15:$B$19,1))+$F$4)+INDEX('Taxas 2026'!$D$15:$D$19,MATCH((Y11+5),'Taxas 2026'!$B$15:$B$19,1))+Premissas!$B$34))/(Y11+5)&gt;=$B$4,Y11+5,Y11+10))</f>
        <v>54.9</v>
      </c>
      <c r="AB11" s="46" t="n">
        <f aca="false">((AA11)-(F11+(AA11)*(INDEX('Taxas 2026'!$C$15:$C$19,MATCH((AA11),'Taxas 2026'!$B$15:$B$19,1))+$F$4)+INDEX('Taxas 2026'!$D$15:$D$19,MATCH((AA11),'Taxas 2026'!$B$15:$B$19,1))+Premissas!$B$34))/(AA11)</f>
        <v>0.151047358834244</v>
      </c>
      <c r="AC11" s="23" t="str">
        <f aca="false">IF((1-'Taxas 2026'!$C$24-$H$4-$B$4)&lt;=0,"",IF(MAX(1,(F11+'Taxas 2026'!$D$24)/(1-'Taxas 2026'!$C$24-$H$4-$B$4))&lt;'Taxas 2026'!$B$25,MAX(1,(F11+'Taxas 2026'!$D$24)/(1-'Taxas 2026'!$C$24-$H$4-$B$4)),""))</f>
        <v/>
      </c>
      <c r="AD11" s="23" t="n">
        <f aca="false">IF((1-'Taxas 2026'!$C$25-$H$4-$B$4)&lt;=0,"",IF(MAX('Taxas 2026'!$B$25,(F11+'Taxas 2026'!$D$25)/(1-'Taxas 2026'!$C$25-$H$4-$B$4))&lt;1000000000,MAX('Taxas 2026'!$B$25,(F11+'Taxas 2026'!$D$25)/(1-'Taxas 2026'!$C$25-$H$4-$B$4)),""))</f>
        <v>64.4137931034483</v>
      </c>
      <c r="AE11" s="43" t="n">
        <f aca="false">MIN(AC11:AD11)</f>
        <v>64.4137931034483</v>
      </c>
      <c r="AF11" s="23" t="n">
        <f aca="false">CEILING(AE11-4.9,5)+4.9</f>
        <v>64.9</v>
      </c>
      <c r="AG11" s="46" t="n">
        <f aca="false">((AF11)-(F11+(AF11)*(INDEX('Taxas 2026'!$C$24:$C$25,MATCH((AF11),'Taxas 2026'!$B$24:$B$25,1))+$H$4)+INDEX('Taxas 2026'!$D$24:$D$25,MATCH((AF11),'Taxas 2026'!$B$24:$B$25,1))))/(AF11)</f>
        <v>0.153258859784284</v>
      </c>
      <c r="AH11" s="43" t="n">
        <f aca="false">IF(((AF11)-(F11+(AF11)*(INDEX('Taxas 2026'!$C$24:$C$25,MATCH((AF11),'Taxas 2026'!$B$24:$B$25,1))+$H$4)+INDEX('Taxas 2026'!$D$24:$D$25,MATCH((AF11),'Taxas 2026'!$B$24:$B$25,1))))/(AF11)&gt;=$B$4,AF11,IF(((AF11+5)-(F11+(AF11+5)*(INDEX('Taxas 2026'!$C$24:$C$25,MATCH((AF11+5),'Taxas 2026'!$B$24:$B$25,1))+$H$4)+INDEX('Taxas 2026'!$D$24:$D$25,MATCH((AF11+5),'Taxas 2026'!$B$24:$B$25,1))))/(AF11+5)&gt;=$B$4,AF11+5,AF11+10))</f>
        <v>64.9</v>
      </c>
      <c r="AI11" s="46" t="n">
        <f aca="false">((AH11)-(F11+(AH11)*(INDEX('Taxas 2026'!$C$24:$C$25,MATCH((AH11),'Taxas 2026'!$B$24:$B$25,1))+$H$4)+INDEX('Taxas 2026'!$D$24:$D$25,MATCH((AH11),'Taxas 2026'!$B$24:$B$25,1))))/(AH11)</f>
        <v>0.153258859784284</v>
      </c>
      <c r="AJ11" s="43" t="n">
        <f aca="false">MAX(1,(F11+Premissas!$B$45+Premissas!$B$48+INDEX('Frete 2026'!$H$6:$H$11,H11))/(1-$J$4-$B$4))</f>
        <v>107.540572043396</v>
      </c>
      <c r="AK11" s="23" t="n">
        <f aca="false">CEILING(AJ11-4.9,5)+4.9</f>
        <v>109.9</v>
      </c>
      <c r="AL11" s="46" t="n">
        <f aca="false">((AK11)-(F11+Premissas!$B$45+Premissas!$B$48+INDEX('Frete 2026'!$H$6:$H$11,H11)+(AK11)*$J$4))/(AK11)</f>
        <v>0.157981407340006</v>
      </c>
      <c r="AM11" s="43" t="n">
        <f aca="false">IF(((AK11)-(F11+Premissas!$B$45+Premissas!$B$48+INDEX('Frete 2026'!$H$6:$H$11,H11)+(AK11)*$J$4))/(AK11)&gt;=$B$4,AK11,IF(((AK11+5)-(F11+Premissas!$B$45+Premissas!$B$48+INDEX('Frete 2026'!$H$6:$H$11,H11)+(AK11+5)*$J$4))/(AK11+5)&gt;=$B$4,AK11+5,AK11+10))</f>
        <v>109.9</v>
      </c>
      <c r="AN11" s="46" t="n">
        <f aca="false">((AM11)-(F11+Premissas!$B$45+Premissas!$B$48+INDEX('Frete 2026'!$H$6:$H$11,H11)+(AM11)*$J$4))/(AM11)</f>
        <v>0.157981407340006</v>
      </c>
    </row>
    <row r="12" customFormat="false" ht="15" hidden="false" customHeight="false" outlineLevel="0" collapsed="false">
      <c r="A12" s="6" t="s">
        <v>56</v>
      </c>
      <c r="B12" s="57" t="n">
        <v>3</v>
      </c>
      <c r="C12" s="20" t="n">
        <f aca="false">MATCH(A12,'Ficha de Custo'!$B$4:$D$4,0)</f>
        <v>2</v>
      </c>
      <c r="D12" s="17" t="n">
        <f aca="false">INDEX('Ficha de Custo'!$B$14:$D$14,C12)</f>
        <v>20.52</v>
      </c>
      <c r="E12" s="17" t="n">
        <f aca="false">INDEX('Ficha de Custo'!$B$18:$D$21,MATCH(B12,'Ficha de Custo'!$A$18:$A$21,0),C12)</f>
        <v>4.5</v>
      </c>
      <c r="F12" s="23" t="n">
        <f aca="false">D12*B12+E12</f>
        <v>66.06</v>
      </c>
      <c r="G12" s="49" t="n">
        <f aca="false">INDEX('Ficha de Custo'!$B$36:$D$39,MATCH(B12,'Ficha de Custo'!$A$36:$A$39,0),C12)</f>
        <v>0.68</v>
      </c>
      <c r="H12" s="20" t="n">
        <f aca="false">MATCH(G12-0.0000001,'Frete 2026'!$A$6:$A$11,1)</f>
        <v>3</v>
      </c>
      <c r="I12" s="23" t="str">
        <f aca="false">IF((1-$D$4-$B$4)&lt;=0,"",IF(MAX(1,(F12+INDEX('Frete 2026'!$B$6:$B$11,H12))/(1-$D$4-$B$4))&lt;79,MAX(1,(F12+INDEX('Frete 2026'!$B$6:$B$11,H12))/(1-$D$4-$B$4)),""))</f>
        <v/>
      </c>
      <c r="J12" s="23" t="str">
        <f aca="false">IF((1-$D$4-$B$4)&lt;=0,"",IF(MAX('Frete 2026'!$C$5,(F12+INDEX('Frete 2026'!$C$6:$C$11,H12))/(1-$D$4-$B$4))&lt;'Frete 2026'!$D$5,MAX('Frete 2026'!$C$5,(F12+INDEX('Frete 2026'!$C$6:$C$11,H12))/(1-$D$4-$B$4)),""))</f>
        <v/>
      </c>
      <c r="K12" s="23" t="str">
        <f aca="false">IF((1-$D$4-$B$4)&lt;=0,"",IF(MAX('Frete 2026'!$D$5,(F12+INDEX('Frete 2026'!$D$6:$D$11,H12))/(1-$D$4-$B$4))&lt;'Frete 2026'!$E$5,MAX('Frete 2026'!$D$5,(F12+INDEX('Frete 2026'!$D$6:$D$11,H12))/(1-$D$4-$B$4)),""))</f>
        <v/>
      </c>
      <c r="L12" s="23" t="str">
        <f aca="false">IF((1-$D$4-$B$4)&lt;=0,"",IF(MAX('Frete 2026'!$E$5,(F12+INDEX('Frete 2026'!$E$6:$E$11,H12))/(1-$D$4-$B$4))&lt;'Frete 2026'!$F$5,MAX('Frete 2026'!$E$5,(F12+INDEX('Frete 2026'!$E$6:$E$11,H12))/(1-$D$4-$B$4)),""))</f>
        <v/>
      </c>
      <c r="M12" s="23" t="n">
        <f aca="false">IF((1-$D$4-$B$4)&lt;=0,"",IF(MAX('Frete 2026'!$F$5,(F12+INDEX('Frete 2026'!$F$6:$F$11,H12))/(1-$D$4-$B$4))&lt;'Frete 2026'!$G$5,MAX('Frete 2026'!$F$5,(F12+INDEX('Frete 2026'!$F$6:$F$11,H12))/(1-$D$4-$B$4)),""))</f>
        <v>155.063063063063</v>
      </c>
      <c r="N12" s="23" t="n">
        <f aca="false">IF((1-$D$4-$B$4)&lt;=0,"",IF(MAX('Frete 2026'!$G$5,(F12+INDEX('Frete 2026'!$G$6:$G$11,H12))/(1-$D$4-$B$4))&lt;1000000000,MAX('Frete 2026'!$G$5,(F12+INDEX('Frete 2026'!$G$6:$G$11,H12))/(1-$D$4-$B$4)),""))</f>
        <v>200</v>
      </c>
      <c r="O12" s="43" t="n">
        <f aca="false">MIN(I12:N12)</f>
        <v>155.063063063063</v>
      </c>
      <c r="P12" s="23" t="n">
        <f aca="false">CEILING(O12-4.9,5)+4.9</f>
        <v>159.9</v>
      </c>
      <c r="Q12" s="46" t="n">
        <f aca="false">((P12)-(F12+IF((P12)&lt;79,INDEX('Frete 2026'!$B$6:$B$11,H12),INDEX('Frete 2026'!$C$6:$G$11,H12,MATCH((P12),'Frete 2026'!$C$5:$G$5,1)))+(P12)*$D$4))/(P12)</f>
        <v>0.166788617886179</v>
      </c>
      <c r="R12" s="43" t="n">
        <f aca="false">IF(((P12)-(F12+IF((P12)&lt;79,INDEX('Frete 2026'!$B$6:$B$11,H12),INDEX('Frete 2026'!$C$6:$G$11,H12,MATCH((P12),'Frete 2026'!$C$5:$G$5,1)))+(P12)*$D$4))/(P12)&gt;=$B$4,P12,IF(((P12+5)-(F12+IF((P12+5)&lt;79,INDEX('Frete 2026'!$B$6:$B$11,H12),INDEX('Frete 2026'!$C$6:$G$11,H12,MATCH((P12+5),'Frete 2026'!$C$5:$G$5,1)))+(P12+5)*$D$4))/(P12+5)&gt;=$B$4,P12+5,P12+10))</f>
        <v>159.9</v>
      </c>
      <c r="S12" s="46" t="n">
        <f aca="false">((R12)-(F12+IF((R12)&lt;79,INDEX('Frete 2026'!$B$6:$B$11,H12),INDEX('Frete 2026'!$C$6:$G$11,H12,MATCH((R12),'Frete 2026'!$C$5:$G$5,1)))+(R12)*$D$4))/(R12)</f>
        <v>0.166788617886179</v>
      </c>
      <c r="T12" s="23" t="str">
        <f aca="false">IF((1-'Taxas 2026'!$C$16-$F$4-$B$4)&lt;=0,"",IF(MAX('Taxas 2026'!$B$16,(F12+'Taxas 2026'!$D$16+Premissas!$B$34)/(1-'Taxas 2026'!$C$16-$F$4-$B$4))&lt;'Taxas 2026'!$B$17,MAX('Taxas 2026'!$B$16,(F12+'Taxas 2026'!$D$16+Premissas!$B$34)/(1-'Taxas 2026'!$C$16-$F$4-$B$4)),""))</f>
        <v/>
      </c>
      <c r="U12" s="23" t="str">
        <f aca="false">IF((1-'Taxas 2026'!$C$17-$F$4-$B$4)&lt;=0,"",IF(MAX('Taxas 2026'!$B$17,(F12+'Taxas 2026'!$D$17+Premissas!$B$34)/(1-'Taxas 2026'!$C$17-$F$4-$B$4))&lt;'Taxas 2026'!$B$18,MAX('Taxas 2026'!$B$17,(F12+'Taxas 2026'!$D$17+Premissas!$B$34)/(1-'Taxas 2026'!$C$17-$F$4-$B$4)),""))</f>
        <v/>
      </c>
      <c r="V12" s="23" t="n">
        <f aca="false">IF((1-'Taxas 2026'!$C$18-$F$4-$B$4)&lt;=0,"",IF(MAX('Taxas 2026'!$B$18,(F12+'Taxas 2026'!$D$18+Premissas!$B$34)/(1-'Taxas 2026'!$C$18-$F$4-$B$4))&lt;'Taxas 2026'!$B$19,MAX('Taxas 2026'!$B$18,(F12+'Taxas 2026'!$D$18+Premissas!$B$34)/(1-'Taxas 2026'!$C$18-$F$4-$B$4)),""))</f>
        <v>160.859813084112</v>
      </c>
      <c r="W12" s="23" t="n">
        <f aca="false">IF((1-'Taxas 2026'!$C$19-$F$4-$B$4)&lt;=0,"",IF(MAX('Taxas 2026'!$B$19,(F12+'Taxas 2026'!$D$19+Premissas!$B$34)/(1-'Taxas 2026'!$C$19-$F$4-$B$4))&lt;1000000000,MAX('Taxas 2026'!$B$19,(F12+'Taxas 2026'!$D$19+Premissas!$B$34)/(1-'Taxas 2026'!$C$19-$F$4-$B$4)),""))</f>
        <v>200</v>
      </c>
      <c r="X12" s="43" t="n">
        <f aca="false">MIN(T12:W12)</f>
        <v>160.859813084112</v>
      </c>
      <c r="Y12" s="23" t="n">
        <f aca="false">CEILING(X12-4.9,5)+4.9</f>
        <v>164.9</v>
      </c>
      <c r="Z12" s="46" t="n">
        <f aca="false">((Y12)-(F12+(Y12)*(INDEX('Taxas 2026'!$C$15:$C$19,MATCH((Y12),'Taxas 2026'!$B$15:$B$19,1))+$F$4)+INDEX('Taxas 2026'!$D$15:$D$19,MATCH((Y12),'Taxas 2026'!$B$15:$B$19,1))+Premissas!$B$34))/(Y12)</f>
        <v>0.163107944208611</v>
      </c>
      <c r="AA12" s="43" t="n">
        <f aca="false">IF(((Y12)-(F12+(Y12)*(INDEX('Taxas 2026'!$C$15:$C$19,MATCH((Y12),'Taxas 2026'!$B$15:$B$19,1))+$F$4)+INDEX('Taxas 2026'!$D$15:$D$19,MATCH((Y12),'Taxas 2026'!$B$15:$B$19,1))+Premissas!$B$34))/(Y12)&gt;=$B$4,Y12,IF(((Y12+5)-(F12+(Y12+5)*(INDEX('Taxas 2026'!$C$15:$C$19,MATCH((Y12+5),'Taxas 2026'!$B$15:$B$19,1))+$F$4)+INDEX('Taxas 2026'!$D$15:$D$19,MATCH((Y12+5),'Taxas 2026'!$B$15:$B$19,1))+Premissas!$B$34))/(Y12+5)&gt;=$B$4,Y12+5,Y12+10))</f>
        <v>164.9</v>
      </c>
      <c r="AB12" s="46" t="n">
        <f aca="false">((AA12)-(F12+(AA12)*(INDEX('Taxas 2026'!$C$15:$C$19,MATCH((AA12),'Taxas 2026'!$B$15:$B$19,1))+$F$4)+INDEX('Taxas 2026'!$D$15:$D$19,MATCH((AA12),'Taxas 2026'!$B$15:$B$19,1))+Premissas!$B$34))/(AA12)</f>
        <v>0.163107944208611</v>
      </c>
      <c r="AC12" s="23" t="str">
        <f aca="false">IF((1-'Taxas 2026'!$C$24-$H$4-$B$4)&lt;=0,"",IF(MAX(1,(F12+'Taxas 2026'!$D$24)/(1-'Taxas 2026'!$C$24-$H$4-$B$4))&lt;'Taxas 2026'!$B$25,MAX(1,(F12+'Taxas 2026'!$D$24)/(1-'Taxas 2026'!$C$24-$H$4-$B$4)),""))</f>
        <v/>
      </c>
      <c r="AD12" s="23" t="n">
        <f aca="false">IF((1-'Taxas 2026'!$C$25-$H$4-$B$4)&lt;=0,"",IF(MAX('Taxas 2026'!$B$25,(F12+'Taxas 2026'!$D$25)/(1-'Taxas 2026'!$C$25-$H$4-$B$4))&lt;1000000000,MAX('Taxas 2026'!$B$25,(F12+'Taxas 2026'!$D$25)/(1-'Taxas 2026'!$C$25-$H$4-$B$4)),""))</f>
        <v>165.655172413793</v>
      </c>
      <c r="AE12" s="43" t="n">
        <f aca="false">MIN(AC12:AD12)</f>
        <v>165.655172413793</v>
      </c>
      <c r="AF12" s="23" t="n">
        <f aca="false">CEILING(AE12-4.9,5)+4.9</f>
        <v>169.9</v>
      </c>
      <c r="AG12" s="46" t="n">
        <f aca="false">((AF12)-(F12+(AF12)*(INDEX('Taxas 2026'!$C$24:$C$25,MATCH((AF12),'Taxas 2026'!$B$24:$B$25,1))+$H$4)+INDEX('Taxas 2026'!$D$24:$D$25,MATCH((AF12),'Taxas 2026'!$B$24:$B$25,1))))/(AF12)</f>
        <v>0.160868157739847</v>
      </c>
      <c r="AH12" s="43" t="n">
        <f aca="false">IF(((AF12)-(F12+(AF12)*(INDEX('Taxas 2026'!$C$24:$C$25,MATCH((AF12),'Taxas 2026'!$B$24:$B$25,1))+$H$4)+INDEX('Taxas 2026'!$D$24:$D$25,MATCH((AF12),'Taxas 2026'!$B$24:$B$25,1))))/(AF12)&gt;=$B$4,AF12,IF(((AF12+5)-(F12+(AF12+5)*(INDEX('Taxas 2026'!$C$24:$C$25,MATCH((AF12+5),'Taxas 2026'!$B$24:$B$25,1))+$H$4)+INDEX('Taxas 2026'!$D$24:$D$25,MATCH((AF12+5),'Taxas 2026'!$B$24:$B$25,1))))/(AF12+5)&gt;=$B$4,AF12+5,AF12+10))</f>
        <v>169.9</v>
      </c>
      <c r="AI12" s="46" t="n">
        <f aca="false">((AH12)-(F12+(AH12)*(INDEX('Taxas 2026'!$C$24:$C$25,MATCH((AH12),'Taxas 2026'!$B$24:$B$25,1))+$H$4)+INDEX('Taxas 2026'!$D$24:$D$25,MATCH((AH12),'Taxas 2026'!$B$24:$B$25,1))))/(AH12)</f>
        <v>0.160868157739847</v>
      </c>
      <c r="AJ12" s="43" t="n">
        <f aca="false">MAX(1,(F12+Premissas!$B$45+Premissas!$B$48+INDEX('Frete 2026'!$H$6:$H$11,H12))/(1-$J$4-$B$4))</f>
        <v>234.071550255537</v>
      </c>
      <c r="AK12" s="23" t="n">
        <f aca="false">CEILING(AJ12-4.9,5)+4.9</f>
        <v>234.9</v>
      </c>
      <c r="AL12" s="46" t="n">
        <f aca="false">((AK12)-(F12+Premissas!$B$45+Premissas!$B$48+INDEX('Frete 2026'!$H$6:$H$11,H12)+(AK12)*$J$4))/(AK12)</f>
        <v>0.151311153682418</v>
      </c>
      <c r="AM12" s="43" t="n">
        <f aca="false">IF(((AK12)-(F12+Premissas!$B$45+Premissas!$B$48+INDEX('Frete 2026'!$H$6:$H$11,H12)+(AK12)*$J$4))/(AK12)&gt;=$B$4,AK12,IF(((AK12+5)-(F12+Premissas!$B$45+Premissas!$B$48+INDEX('Frete 2026'!$H$6:$H$11,H12)+(AK12+5)*$J$4))/(AK12+5)&gt;=$B$4,AK12+5,AK12+10))</f>
        <v>234.9</v>
      </c>
      <c r="AN12" s="46" t="n">
        <f aca="false">((AM12)-(F12+Premissas!$B$45+Premissas!$B$48+INDEX('Frete 2026'!$H$6:$H$11,H12)+(AM12)*$J$4))/(AM12)</f>
        <v>0.151311153682418</v>
      </c>
    </row>
    <row r="13" customFormat="false" ht="15" hidden="false" customHeight="false" outlineLevel="0" collapsed="false">
      <c r="A13" s="6" t="s">
        <v>56</v>
      </c>
      <c r="B13" s="57" t="n">
        <v>5</v>
      </c>
      <c r="C13" s="20" t="n">
        <f aca="false">MATCH(A13,'Ficha de Custo'!$B$4:$D$4,0)</f>
        <v>2</v>
      </c>
      <c r="D13" s="17" t="n">
        <f aca="false">INDEX('Ficha de Custo'!$B$14:$D$14,C13)</f>
        <v>20.52</v>
      </c>
      <c r="E13" s="17" t="n">
        <f aca="false">INDEX('Ficha de Custo'!$B$18:$D$21,MATCH(B13,'Ficha de Custo'!$A$18:$A$21,0),C13)</f>
        <v>5.5</v>
      </c>
      <c r="F13" s="23" t="n">
        <f aca="false">D13*B13+E13</f>
        <v>108.1</v>
      </c>
      <c r="G13" s="49" t="n">
        <f aca="false">INDEX('Ficha de Custo'!$B$36:$D$39,MATCH(B13,'Ficha de Custo'!$A$36:$A$39,0),C13)</f>
        <v>1.1</v>
      </c>
      <c r="H13" s="20" t="n">
        <f aca="false">MATCH(G13-0.0000001,'Frete 2026'!$A$6:$A$11,1)</f>
        <v>4</v>
      </c>
      <c r="I13" s="23" t="str">
        <f aca="false">IF((1-$D$4-$B$4)&lt;=0,"",IF(MAX(1,(F13+INDEX('Frete 2026'!$B$6:$B$11,H13))/(1-$D$4-$B$4))&lt;79,MAX(1,(F13+INDEX('Frete 2026'!$B$6:$B$11,H13))/(1-$D$4-$B$4)),""))</f>
        <v/>
      </c>
      <c r="J13" s="23" t="str">
        <f aca="false">IF((1-$D$4-$B$4)&lt;=0,"",IF(MAX('Frete 2026'!$C$5,(F13+INDEX('Frete 2026'!$C$6:$C$11,H13))/(1-$D$4-$B$4))&lt;'Frete 2026'!$D$5,MAX('Frete 2026'!$C$5,(F13+INDEX('Frete 2026'!$C$6:$C$11,H13))/(1-$D$4-$B$4)),""))</f>
        <v/>
      </c>
      <c r="K13" s="23" t="str">
        <f aca="false">IF((1-$D$4-$B$4)&lt;=0,"",IF(MAX('Frete 2026'!$D$5,(F13+INDEX('Frete 2026'!$D$6:$D$11,H13))/(1-$D$4-$B$4))&lt;'Frete 2026'!$E$5,MAX('Frete 2026'!$D$5,(F13+INDEX('Frete 2026'!$D$6:$D$11,H13))/(1-$D$4-$B$4)),""))</f>
        <v/>
      </c>
      <c r="L13" s="23" t="str">
        <f aca="false">IF((1-$D$4-$B$4)&lt;=0,"",IF(MAX('Frete 2026'!$E$5,(F13+INDEX('Frete 2026'!$E$6:$E$11,H13))/(1-$D$4-$B$4))&lt;'Frete 2026'!$F$5,MAX('Frete 2026'!$E$5,(F13+INDEX('Frete 2026'!$E$6:$E$11,H13))/(1-$D$4-$B$4)),""))</f>
        <v/>
      </c>
      <c r="M13" s="23" t="str">
        <f aca="false">IF((1-$D$4-$B$4)&lt;=0,"",IF(MAX('Frete 2026'!$F$5,(F13+INDEX('Frete 2026'!$F$6:$F$11,H13))/(1-$D$4-$B$4))&lt;'Frete 2026'!$G$5,MAX('Frete 2026'!$F$5,(F13+INDEX('Frete 2026'!$F$6:$F$11,H13))/(1-$D$4-$B$4)),""))</f>
        <v/>
      </c>
      <c r="N13" s="23" t="n">
        <f aca="false">IF((1-$D$4-$B$4)&lt;=0,"",IF(MAX('Frete 2026'!$G$5,(F13+INDEX('Frete 2026'!$G$6:$G$11,H13))/(1-$D$4-$B$4))&lt;1000000000,MAX('Frete 2026'!$G$5,(F13+INDEX('Frete 2026'!$G$6:$G$11,H13))/(1-$D$4-$B$4)),""))</f>
        <v>239.189189189189</v>
      </c>
      <c r="O13" s="43" t="n">
        <f aca="false">MIN(I13:N13)</f>
        <v>239.189189189189</v>
      </c>
      <c r="P13" s="23" t="n">
        <f aca="false">CEILING(O13-4.9,5)+4.9</f>
        <v>239.9</v>
      </c>
      <c r="Q13" s="46" t="n">
        <f aca="false">((P13)-(F13+IF((P13)&lt;79,INDEX('Frete 2026'!$B$6:$B$11,H13),INDEX('Frete 2026'!$C$6:$G$11,H13,MATCH((P13),'Frete 2026'!$C$5:$G$5,1)))+(P13)*$D$4))/(P13)</f>
        <v>0.151644435181326</v>
      </c>
      <c r="R13" s="43" t="n">
        <f aca="false">IF(((P13)-(F13+IF((P13)&lt;79,INDEX('Frete 2026'!$B$6:$B$11,H13),INDEX('Frete 2026'!$C$6:$G$11,H13,MATCH((P13),'Frete 2026'!$C$5:$G$5,1)))+(P13)*$D$4))/(P13)&gt;=$B$4,P13,IF(((P13+5)-(F13+IF((P13+5)&lt;79,INDEX('Frete 2026'!$B$6:$B$11,H13),INDEX('Frete 2026'!$C$6:$G$11,H13,MATCH((P13+5),'Frete 2026'!$C$5:$G$5,1)))+(P13+5)*$D$4))/(P13+5)&gt;=$B$4,P13+5,P13+10))</f>
        <v>239.9</v>
      </c>
      <c r="S13" s="46" t="n">
        <f aca="false">((R13)-(F13+IF((R13)&lt;79,INDEX('Frete 2026'!$B$6:$B$11,H13),INDEX('Frete 2026'!$C$6:$G$11,H13,MATCH((R13),'Frete 2026'!$C$5:$G$5,1)))+(R13)*$D$4))/(R13)</f>
        <v>0.151644435181326</v>
      </c>
      <c r="T13" s="23" t="str">
        <f aca="false">IF((1-'Taxas 2026'!$C$16-$F$4-$B$4)&lt;=0,"",IF(MAX('Taxas 2026'!$B$16,(F13+'Taxas 2026'!$D$16+Premissas!$B$34)/(1-'Taxas 2026'!$C$16-$F$4-$B$4))&lt;'Taxas 2026'!$B$17,MAX('Taxas 2026'!$B$16,(F13+'Taxas 2026'!$D$16+Premissas!$B$34)/(1-'Taxas 2026'!$C$16-$F$4-$B$4)),""))</f>
        <v/>
      </c>
      <c r="U13" s="23" t="str">
        <f aca="false">IF((1-'Taxas 2026'!$C$17-$F$4-$B$4)&lt;=0,"",IF(MAX('Taxas 2026'!$B$17,(F13+'Taxas 2026'!$D$17+Premissas!$B$34)/(1-'Taxas 2026'!$C$17-$F$4-$B$4))&lt;'Taxas 2026'!$B$18,MAX('Taxas 2026'!$B$17,(F13+'Taxas 2026'!$D$17+Premissas!$B$34)/(1-'Taxas 2026'!$C$17-$F$4-$B$4)),""))</f>
        <v/>
      </c>
      <c r="V13" s="23" t="str">
        <f aca="false">IF((1-'Taxas 2026'!$C$18-$F$4-$B$4)&lt;=0,"",IF(MAX('Taxas 2026'!$B$18,(F13+'Taxas 2026'!$D$18+Premissas!$B$34)/(1-'Taxas 2026'!$C$18-$F$4-$B$4))&lt;'Taxas 2026'!$B$19,MAX('Taxas 2026'!$B$18,(F13+'Taxas 2026'!$D$18+Premissas!$B$34)/(1-'Taxas 2026'!$C$18-$F$4-$B$4)),""))</f>
        <v/>
      </c>
      <c r="W13" s="23" t="n">
        <f aca="false">IF((1-'Taxas 2026'!$C$19-$F$4-$B$4)&lt;=0,"",IF(MAX('Taxas 2026'!$B$19,(F13+'Taxas 2026'!$D$19+Premissas!$B$34)/(1-'Taxas 2026'!$C$19-$F$4-$B$4))&lt;1000000000,MAX('Taxas 2026'!$B$19,(F13+'Taxas 2026'!$D$19+Premissas!$B$34)/(1-'Taxas 2026'!$C$19-$F$4-$B$4)),""))</f>
        <v>250.654205607477</v>
      </c>
      <c r="X13" s="43" t="n">
        <f aca="false">MIN(T13:W13)</f>
        <v>250.654205607477</v>
      </c>
      <c r="Y13" s="23" t="n">
        <f aca="false">CEILING(X13-4.9,5)+4.9</f>
        <v>254.9</v>
      </c>
      <c r="Z13" s="46" t="n">
        <f aca="false">((Y13)-(F13+(Y13)*(INDEX('Taxas 2026'!$C$15:$C$19,MATCH((Y13),'Taxas 2026'!$B$15:$B$19,1))+$F$4)+INDEX('Taxas 2026'!$D$15:$D$19,MATCH((Y13),'Taxas 2026'!$B$15:$B$19,1))+Premissas!$B$34))/(Y13)</f>
        <v>0.158911337779521</v>
      </c>
      <c r="AA13" s="43" t="n">
        <f aca="false">IF(((Y13)-(F13+(Y13)*(INDEX('Taxas 2026'!$C$15:$C$19,MATCH((Y13),'Taxas 2026'!$B$15:$B$19,1))+$F$4)+INDEX('Taxas 2026'!$D$15:$D$19,MATCH((Y13),'Taxas 2026'!$B$15:$B$19,1))+Premissas!$B$34))/(Y13)&gt;=$B$4,Y13,IF(((Y13+5)-(F13+(Y13+5)*(INDEX('Taxas 2026'!$C$15:$C$19,MATCH((Y13+5),'Taxas 2026'!$B$15:$B$19,1))+$F$4)+INDEX('Taxas 2026'!$D$15:$D$19,MATCH((Y13+5),'Taxas 2026'!$B$15:$B$19,1))+Premissas!$B$34))/(Y13+5)&gt;=$B$4,Y13+5,Y13+10))</f>
        <v>254.9</v>
      </c>
      <c r="AB13" s="46" t="n">
        <f aca="false">((AA13)-(F13+(AA13)*(INDEX('Taxas 2026'!$C$15:$C$19,MATCH((AA13),'Taxas 2026'!$B$15:$B$19,1))+$F$4)+INDEX('Taxas 2026'!$D$15:$D$19,MATCH((AA13),'Taxas 2026'!$B$15:$B$19,1))+Premissas!$B$34))/(AA13)</f>
        <v>0.158911337779521</v>
      </c>
      <c r="AC13" s="23" t="str">
        <f aca="false">IF((1-'Taxas 2026'!$C$24-$H$4-$B$4)&lt;=0,"",IF(MAX(1,(F13+'Taxas 2026'!$D$24)/(1-'Taxas 2026'!$C$24-$H$4-$B$4))&lt;'Taxas 2026'!$B$25,MAX(1,(F13+'Taxas 2026'!$D$24)/(1-'Taxas 2026'!$C$24-$H$4-$B$4)),""))</f>
        <v/>
      </c>
      <c r="AD13" s="23" t="n">
        <f aca="false">IF((1-'Taxas 2026'!$C$25-$H$4-$B$4)&lt;=0,"",IF(MAX('Taxas 2026'!$B$25,(F13+'Taxas 2026'!$D$25)/(1-'Taxas 2026'!$C$25-$H$4-$B$4))&lt;1000000000,MAX('Taxas 2026'!$B$25,(F13+'Taxas 2026'!$D$25)/(1-'Taxas 2026'!$C$25-$H$4-$B$4)),""))</f>
        <v>262.298850574713</v>
      </c>
      <c r="AE13" s="43" t="n">
        <f aca="false">MIN(AC13:AD13)</f>
        <v>262.298850574713</v>
      </c>
      <c r="AF13" s="23" t="n">
        <f aca="false">CEILING(AE13-4.9,5)+4.9</f>
        <v>264.9</v>
      </c>
      <c r="AG13" s="46" t="n">
        <f aca="false">((AF13)-(F13+(AF13)*(INDEX('Taxas 2026'!$C$24:$C$25,MATCH((AF13),'Taxas 2026'!$B$24:$B$25,1))+$H$4)+INDEX('Taxas 2026'!$D$24:$D$25,MATCH((AF13),'Taxas 2026'!$B$24:$B$25,1))))/(AF13)</f>
        <v>0.154271423178558</v>
      </c>
      <c r="AH13" s="43" t="n">
        <f aca="false">IF(((AF13)-(F13+(AF13)*(INDEX('Taxas 2026'!$C$24:$C$25,MATCH((AF13),'Taxas 2026'!$B$24:$B$25,1))+$H$4)+INDEX('Taxas 2026'!$D$24:$D$25,MATCH((AF13),'Taxas 2026'!$B$24:$B$25,1))))/(AF13)&gt;=$B$4,AF13,IF(((AF13+5)-(F13+(AF13+5)*(INDEX('Taxas 2026'!$C$24:$C$25,MATCH((AF13+5),'Taxas 2026'!$B$24:$B$25,1))+$H$4)+INDEX('Taxas 2026'!$D$24:$D$25,MATCH((AF13+5),'Taxas 2026'!$B$24:$B$25,1))))/(AF13+5)&gt;=$B$4,AF13+5,AF13+10))</f>
        <v>264.9</v>
      </c>
      <c r="AI13" s="46" t="n">
        <f aca="false">((AH13)-(F13+(AH13)*(INDEX('Taxas 2026'!$C$24:$C$25,MATCH((AH13),'Taxas 2026'!$B$24:$B$25,1))+$H$4)+INDEX('Taxas 2026'!$D$24:$D$25,MATCH((AH13),'Taxas 2026'!$B$24:$B$25,1))))/(AH13)</f>
        <v>0.154271423178558</v>
      </c>
      <c r="AJ13" s="43" t="n">
        <f aca="false">MAX(1,(F13+Premissas!$B$45+Premissas!$B$48+INDEX('Frete 2026'!$H$6:$H$11,H13))/(1-$J$4-$B$4))</f>
        <v>355.222810006276</v>
      </c>
      <c r="AK13" s="23" t="n">
        <f aca="false">CEILING(AJ13-4.9,5)+4.9</f>
        <v>359.9</v>
      </c>
      <c r="AL13" s="46" t="n">
        <f aca="false">((AK13)-(F13+Premissas!$B$45+Premissas!$B$48+INDEX('Frete 2026'!$H$6:$H$11,H13)+(AK13)*$J$4))/(AK13)</f>
        <v>0.154831406872279</v>
      </c>
      <c r="AM13" s="43" t="n">
        <f aca="false">IF(((AK13)-(F13+Premissas!$B$45+Premissas!$B$48+INDEX('Frete 2026'!$H$6:$H$11,H13)+(AK13)*$J$4))/(AK13)&gt;=$B$4,AK13,IF(((AK13+5)-(F13+Premissas!$B$45+Premissas!$B$48+INDEX('Frete 2026'!$H$6:$H$11,H13)+(AK13+5)*$J$4))/(AK13+5)&gt;=$B$4,AK13+5,AK13+10))</f>
        <v>359.9</v>
      </c>
      <c r="AN13" s="46" t="n">
        <f aca="false">((AM13)-(F13+Premissas!$B$45+Premissas!$B$48+INDEX('Frete 2026'!$H$6:$H$11,H13)+(AM13)*$J$4))/(AM13)</f>
        <v>0.154831406872279</v>
      </c>
    </row>
    <row r="14" customFormat="false" ht="15" hidden="false" customHeight="false" outlineLevel="0" collapsed="false">
      <c r="A14" s="6" t="s">
        <v>56</v>
      </c>
      <c r="B14" s="57" t="n">
        <v>10</v>
      </c>
      <c r="C14" s="20" t="n">
        <f aca="false">MATCH(A14,'Ficha de Custo'!$B$4:$D$4,0)</f>
        <v>2</v>
      </c>
      <c r="D14" s="17" t="n">
        <f aca="false">INDEX('Ficha de Custo'!$B$14:$D$14,C14)</f>
        <v>20.52</v>
      </c>
      <c r="E14" s="17" t="n">
        <f aca="false">INDEX('Ficha de Custo'!$B$18:$D$21,MATCH(B14,'Ficha de Custo'!$A$18:$A$21,0),C14)</f>
        <v>7.5</v>
      </c>
      <c r="F14" s="23" t="n">
        <f aca="false">D14*B14+E14</f>
        <v>212.7</v>
      </c>
      <c r="G14" s="49" t="n">
        <f aca="false">INDEX('Ficha de Custo'!$B$36:$D$39,MATCH(B14,'Ficha de Custo'!$A$36:$A$39,0),C14)</f>
        <v>2.14</v>
      </c>
      <c r="H14" s="20" t="n">
        <f aca="false">MATCH(G14-0.0000001,'Frete 2026'!$A$6:$A$11,1)</f>
        <v>6</v>
      </c>
      <c r="I14" s="23" t="str">
        <f aca="false">IF((1-$D$4-$B$4)&lt;=0,"",IF(MAX(1,(F14+INDEX('Frete 2026'!$B$6:$B$11,H14))/(1-$D$4-$B$4))&lt;79,MAX(1,(F14+INDEX('Frete 2026'!$B$6:$B$11,H14))/(1-$D$4-$B$4)),""))</f>
        <v/>
      </c>
      <c r="J14" s="23" t="str">
        <f aca="false">IF((1-$D$4-$B$4)&lt;=0,"",IF(MAX('Frete 2026'!$C$5,(F14+INDEX('Frete 2026'!$C$6:$C$11,H14))/(1-$D$4-$B$4))&lt;'Frete 2026'!$D$5,MAX('Frete 2026'!$C$5,(F14+INDEX('Frete 2026'!$C$6:$C$11,H14))/(1-$D$4-$B$4)),""))</f>
        <v/>
      </c>
      <c r="K14" s="23" t="str">
        <f aca="false">IF((1-$D$4-$B$4)&lt;=0,"",IF(MAX('Frete 2026'!$D$5,(F14+INDEX('Frete 2026'!$D$6:$D$11,H14))/(1-$D$4-$B$4))&lt;'Frete 2026'!$E$5,MAX('Frete 2026'!$D$5,(F14+INDEX('Frete 2026'!$D$6:$D$11,H14))/(1-$D$4-$B$4)),""))</f>
        <v/>
      </c>
      <c r="L14" s="23" t="str">
        <f aca="false">IF((1-$D$4-$B$4)&lt;=0,"",IF(MAX('Frete 2026'!$E$5,(F14+INDEX('Frete 2026'!$E$6:$E$11,H14))/(1-$D$4-$B$4))&lt;'Frete 2026'!$F$5,MAX('Frete 2026'!$E$5,(F14+INDEX('Frete 2026'!$E$6:$E$11,H14))/(1-$D$4-$B$4)),""))</f>
        <v/>
      </c>
      <c r="M14" s="23" t="str">
        <f aca="false">IF((1-$D$4-$B$4)&lt;=0,"",IF(MAX('Frete 2026'!$F$5,(F14+INDEX('Frete 2026'!$F$6:$F$11,H14))/(1-$D$4-$B$4))&lt;'Frete 2026'!$G$5,MAX('Frete 2026'!$F$5,(F14+INDEX('Frete 2026'!$F$6:$F$11,H14))/(1-$D$4-$B$4)),""))</f>
        <v/>
      </c>
      <c r="N14" s="23" t="n">
        <f aca="false">IF((1-$D$4-$B$4)&lt;=0,"",IF(MAX('Frete 2026'!$G$5,(F14+INDEX('Frete 2026'!$G$6:$G$11,H14))/(1-$D$4-$B$4))&lt;1000000000,MAX('Frete 2026'!$G$5,(F14+INDEX('Frete 2026'!$G$6:$G$11,H14))/(1-$D$4-$B$4)),""))</f>
        <v>428.918918918919</v>
      </c>
      <c r="O14" s="43" t="n">
        <f aca="false">MIN(I14:N14)</f>
        <v>428.918918918919</v>
      </c>
      <c r="P14" s="23" t="n">
        <f aca="false">CEILING(O14-4.9,5)+4.9</f>
        <v>429.9</v>
      </c>
      <c r="Q14" s="46" t="n">
        <f aca="false">((P14)-(F14+IF((P14)&lt;79,INDEX('Frete 2026'!$B$6:$B$11,H14),INDEX('Frete 2026'!$C$6:$G$11,H14,MATCH((P14),'Frete 2026'!$C$5:$G$5,1)))+(P14)*$D$4))/(P14)</f>
        <v>0.151266573621772</v>
      </c>
      <c r="R14" s="43" t="n">
        <f aca="false">IF(((P14)-(F14+IF((P14)&lt;79,INDEX('Frete 2026'!$B$6:$B$11,H14),INDEX('Frete 2026'!$C$6:$G$11,H14,MATCH((P14),'Frete 2026'!$C$5:$G$5,1)))+(P14)*$D$4))/(P14)&gt;=$B$4,P14,IF(((P14+5)-(F14+IF((P14+5)&lt;79,INDEX('Frete 2026'!$B$6:$B$11,H14),INDEX('Frete 2026'!$C$6:$G$11,H14,MATCH((P14+5),'Frete 2026'!$C$5:$G$5,1)))+(P14+5)*$D$4))/(P14+5)&gt;=$B$4,P14+5,P14+10))</f>
        <v>429.9</v>
      </c>
      <c r="S14" s="46" t="n">
        <f aca="false">((R14)-(F14+IF((R14)&lt;79,INDEX('Frete 2026'!$B$6:$B$11,H14),INDEX('Frete 2026'!$C$6:$G$11,H14,MATCH((R14),'Frete 2026'!$C$5:$G$5,1)))+(R14)*$D$4))/(R14)</f>
        <v>0.151266573621772</v>
      </c>
      <c r="T14" s="23" t="str">
        <f aca="false">IF((1-'Taxas 2026'!$C$16-$F$4-$B$4)&lt;=0,"",IF(MAX('Taxas 2026'!$B$16,(F14+'Taxas 2026'!$D$16+Premissas!$B$34)/(1-'Taxas 2026'!$C$16-$F$4-$B$4))&lt;'Taxas 2026'!$B$17,MAX('Taxas 2026'!$B$16,(F14+'Taxas 2026'!$D$16+Premissas!$B$34)/(1-'Taxas 2026'!$C$16-$F$4-$B$4)),""))</f>
        <v/>
      </c>
      <c r="U14" s="23" t="str">
        <f aca="false">IF((1-'Taxas 2026'!$C$17-$F$4-$B$4)&lt;=0,"",IF(MAX('Taxas 2026'!$B$17,(F14+'Taxas 2026'!$D$17+Premissas!$B$34)/(1-'Taxas 2026'!$C$17-$F$4-$B$4))&lt;'Taxas 2026'!$B$18,MAX('Taxas 2026'!$B$17,(F14+'Taxas 2026'!$D$17+Premissas!$B$34)/(1-'Taxas 2026'!$C$17-$F$4-$B$4)),""))</f>
        <v/>
      </c>
      <c r="V14" s="23" t="str">
        <f aca="false">IF((1-'Taxas 2026'!$C$18-$F$4-$B$4)&lt;=0,"",IF(MAX('Taxas 2026'!$B$18,(F14+'Taxas 2026'!$D$18+Premissas!$B$34)/(1-'Taxas 2026'!$C$18-$F$4-$B$4))&lt;'Taxas 2026'!$B$19,MAX('Taxas 2026'!$B$18,(F14+'Taxas 2026'!$D$18+Premissas!$B$34)/(1-'Taxas 2026'!$C$18-$F$4-$B$4)),""))</f>
        <v/>
      </c>
      <c r="W14" s="23" t="n">
        <f aca="false">IF((1-'Taxas 2026'!$C$19-$F$4-$B$4)&lt;=0,"",IF(MAX('Taxas 2026'!$B$19,(F14+'Taxas 2026'!$D$19+Premissas!$B$34)/(1-'Taxas 2026'!$C$19-$F$4-$B$4))&lt;1000000000,MAX('Taxas 2026'!$B$19,(F14+'Taxas 2026'!$D$19+Premissas!$B$34)/(1-'Taxas 2026'!$C$19-$F$4-$B$4)),""))</f>
        <v>446.168224299065</v>
      </c>
      <c r="X14" s="43" t="n">
        <f aca="false">MIN(T14:W14)</f>
        <v>446.168224299065</v>
      </c>
      <c r="Y14" s="23" t="n">
        <f aca="false">CEILING(X14-4.9,5)+4.9</f>
        <v>449.9</v>
      </c>
      <c r="Z14" s="46" t="n">
        <f aca="false">((Y14)-(F14+(Y14)*(INDEX('Taxas 2026'!$C$15:$C$19,MATCH((Y14),'Taxas 2026'!$B$15:$B$19,1))+$F$4)+INDEX('Taxas 2026'!$D$15:$D$19,MATCH((Y14),'Taxas 2026'!$B$15:$B$19,1))+Premissas!$B$34))/(Y14)</f>
        <v>0.154437652811736</v>
      </c>
      <c r="AA14" s="43" t="n">
        <f aca="false">IF(((Y14)-(F14+(Y14)*(INDEX('Taxas 2026'!$C$15:$C$19,MATCH((Y14),'Taxas 2026'!$B$15:$B$19,1))+$F$4)+INDEX('Taxas 2026'!$D$15:$D$19,MATCH((Y14),'Taxas 2026'!$B$15:$B$19,1))+Premissas!$B$34))/(Y14)&gt;=$B$4,Y14,IF(((Y14+5)-(F14+(Y14+5)*(INDEX('Taxas 2026'!$C$15:$C$19,MATCH((Y14+5),'Taxas 2026'!$B$15:$B$19,1))+$F$4)+INDEX('Taxas 2026'!$D$15:$D$19,MATCH((Y14+5),'Taxas 2026'!$B$15:$B$19,1))+Premissas!$B$34))/(Y14+5)&gt;=$B$4,Y14+5,Y14+10))</f>
        <v>449.9</v>
      </c>
      <c r="AB14" s="46" t="n">
        <f aca="false">((AA14)-(F14+(AA14)*(INDEX('Taxas 2026'!$C$15:$C$19,MATCH((AA14),'Taxas 2026'!$B$15:$B$19,1))+$F$4)+INDEX('Taxas 2026'!$D$15:$D$19,MATCH((AA14),'Taxas 2026'!$B$15:$B$19,1))+Premissas!$B$34))/(AA14)</f>
        <v>0.154437652811736</v>
      </c>
      <c r="AC14" s="23" t="str">
        <f aca="false">IF((1-'Taxas 2026'!$C$24-$H$4-$B$4)&lt;=0,"",IF(MAX(1,(F14+'Taxas 2026'!$D$24)/(1-'Taxas 2026'!$C$24-$H$4-$B$4))&lt;'Taxas 2026'!$B$25,MAX(1,(F14+'Taxas 2026'!$D$24)/(1-'Taxas 2026'!$C$24-$H$4-$B$4)),""))</f>
        <v/>
      </c>
      <c r="AD14" s="23" t="n">
        <f aca="false">IF((1-'Taxas 2026'!$C$25-$H$4-$B$4)&lt;=0,"",IF(MAX('Taxas 2026'!$B$25,(F14+'Taxas 2026'!$D$25)/(1-'Taxas 2026'!$C$25-$H$4-$B$4))&lt;1000000000,MAX('Taxas 2026'!$B$25,(F14+'Taxas 2026'!$D$25)/(1-'Taxas 2026'!$C$25-$H$4-$B$4)),""))</f>
        <v>502.758620689655</v>
      </c>
      <c r="AE14" s="43" t="n">
        <f aca="false">MIN(AC14:AD14)</f>
        <v>502.758620689655</v>
      </c>
      <c r="AF14" s="23" t="n">
        <f aca="false">CEILING(AE14-4.9,5)+4.9</f>
        <v>504.9</v>
      </c>
      <c r="AG14" s="46" t="n">
        <f aca="false">((AF14)-(F14+(AF14)*(INDEX('Taxas 2026'!$C$24:$C$25,MATCH((AF14),'Taxas 2026'!$B$24:$B$25,1))+$H$4)+INDEX('Taxas 2026'!$D$24:$D$25,MATCH((AF14),'Taxas 2026'!$B$24:$B$25,1))))/(AF14)</f>
        <v>0.151844919786096</v>
      </c>
      <c r="AH14" s="43" t="n">
        <f aca="false">IF(((AF14)-(F14+(AF14)*(INDEX('Taxas 2026'!$C$24:$C$25,MATCH((AF14),'Taxas 2026'!$B$24:$B$25,1))+$H$4)+INDEX('Taxas 2026'!$D$24:$D$25,MATCH((AF14),'Taxas 2026'!$B$24:$B$25,1))))/(AF14)&gt;=$B$4,AF14,IF(((AF14+5)-(F14+(AF14+5)*(INDEX('Taxas 2026'!$C$24:$C$25,MATCH((AF14+5),'Taxas 2026'!$B$24:$B$25,1))+$H$4)+INDEX('Taxas 2026'!$D$24:$D$25,MATCH((AF14+5),'Taxas 2026'!$B$24:$B$25,1))))/(AF14+5)&gt;=$B$4,AF14+5,AF14+10))</f>
        <v>504.9</v>
      </c>
      <c r="AI14" s="46" t="n">
        <f aca="false">((AH14)-(F14+(AH14)*(INDEX('Taxas 2026'!$C$24:$C$25,MATCH((AH14),'Taxas 2026'!$B$24:$B$25,1))+$H$4)+INDEX('Taxas 2026'!$D$24:$D$25,MATCH((AH14),'Taxas 2026'!$B$24:$B$25,1))))/(AH14)</f>
        <v>0.151844919786096</v>
      </c>
      <c r="AJ14" s="43" t="n">
        <f aca="false">MAX(1,(F14+Premissas!$B$45+Premissas!$B$48+INDEX('Frete 2026'!$H$6:$H$11,H14))/(1-$J$4-$B$4))</f>
        <v>655.411100152425</v>
      </c>
      <c r="AK14" s="23" t="n">
        <f aca="false">CEILING(AJ14-4.9,5)+4.9</f>
        <v>659.9</v>
      </c>
      <c r="AL14" s="46" t="n">
        <f aca="false">((AK14)-(F14+Premissas!$B$45+Premissas!$B$48+INDEX('Frete 2026'!$H$6:$H$11,H14)+(AK14)*$J$4))/(AK14)</f>
        <v>0.152528903369198</v>
      </c>
      <c r="AM14" s="43" t="n">
        <f aca="false">IF(((AK14)-(F14+Premissas!$B$45+Premissas!$B$48+INDEX('Frete 2026'!$H$6:$H$11,H14)+(AK14)*$J$4))/(AK14)&gt;=$B$4,AK14,IF(((AK14+5)-(F14+Premissas!$B$45+Premissas!$B$48+INDEX('Frete 2026'!$H$6:$H$11,H14)+(AK14+5)*$J$4))/(AK14+5)&gt;=$B$4,AK14+5,AK14+10))</f>
        <v>659.9</v>
      </c>
      <c r="AN14" s="46" t="n">
        <f aca="false">((AM14)-(F14+Premissas!$B$45+Premissas!$B$48+INDEX('Frete 2026'!$H$6:$H$11,H14)+(AM14)*$J$4))/(AM14)</f>
        <v>0.152528903369198</v>
      </c>
    </row>
    <row r="15" customFormat="false" ht="15" hidden="false" customHeight="false" outlineLevel="0" collapsed="false">
      <c r="A15" s="6" t="s">
        <v>122</v>
      </c>
      <c r="B15" s="57" t="n">
        <v>1</v>
      </c>
      <c r="C15" s="20" t="n">
        <f aca="false">MATCH(A15,'Ficha de Custo'!$B$4:$D$4,0)</f>
        <v>3</v>
      </c>
      <c r="D15" s="17" t="n">
        <f aca="false">INDEX('Ficha de Custo'!$B$14:$D$14,C15)</f>
        <v>31.83</v>
      </c>
      <c r="E15" s="17" t="n">
        <f aca="false">INDEX('Ficha de Custo'!$B$18:$D$21,MATCH(B15,'Ficha de Custo'!$A$18:$A$21,0),C15)</f>
        <v>2.9</v>
      </c>
      <c r="F15" s="23" t="n">
        <f aca="false">D15*B15+E15</f>
        <v>34.73</v>
      </c>
      <c r="G15" s="49" t="n">
        <f aca="false">INDEX('Ficha de Custo'!$B$36:$D$39,MATCH(B15,'Ficha de Custo'!$A$36:$A$39,0),C15)</f>
        <v>0.22</v>
      </c>
      <c r="H15" s="20" t="n">
        <f aca="false">MATCH(G15-0.0000001,'Frete 2026'!$A$6:$A$11,1)</f>
        <v>1</v>
      </c>
      <c r="I15" s="23" t="n">
        <f aca="false">IF((1-$D$4-$B$4)&lt;=0,"",IF(MAX(1,(F15+INDEX('Frete 2026'!$B$6:$B$11,H15))/(1-$D$4-$B$4))&lt;79,MAX(1,(F15+INDEX('Frete 2026'!$B$6:$B$11,H15))/(1-$D$4-$B$4)),""))</f>
        <v>74.2882882882883</v>
      </c>
      <c r="J15" s="23" t="n">
        <f aca="false">IF((1-$D$4-$B$4)&lt;=0,"",IF(MAX('Frete 2026'!$C$5,(F15+INDEX('Frete 2026'!$C$6:$C$11,H15))/(1-$D$4-$B$4))&lt;'Frete 2026'!$D$5,MAX('Frete 2026'!$C$5,(F15+INDEX('Frete 2026'!$C$6:$C$11,H15))/(1-$D$4-$B$4)),""))</f>
        <v>84.8288288288288</v>
      </c>
      <c r="K15" s="23" t="n">
        <f aca="false">IF((1-$D$4-$B$4)&lt;=0,"",IF(MAX('Frete 2026'!$D$5,(F15+INDEX('Frete 2026'!$D$6:$D$11,H15))/(1-$D$4-$B$4))&lt;'Frete 2026'!$E$5,MAX('Frete 2026'!$D$5,(F15+INDEX('Frete 2026'!$D$6:$D$11,H15))/(1-$D$4-$B$4)),""))</f>
        <v>100</v>
      </c>
      <c r="L15" s="23" t="n">
        <f aca="false">IF((1-$D$4-$B$4)&lt;=0,"",IF(MAX('Frete 2026'!$E$5,(F15+INDEX('Frete 2026'!$E$6:$E$11,H15))/(1-$D$4-$B$4))&lt;'Frete 2026'!$F$5,MAX('Frete 2026'!$E$5,(F15+INDEX('Frete 2026'!$E$6:$E$11,H15))/(1-$D$4-$B$4)),""))</f>
        <v>120</v>
      </c>
      <c r="M15" s="23" t="n">
        <f aca="false">IF((1-$D$4-$B$4)&lt;=0,"",IF(MAX('Frete 2026'!$F$5,(F15+INDEX('Frete 2026'!$F$6:$F$11,H15))/(1-$D$4-$B$4))&lt;'Frete 2026'!$G$5,MAX('Frete 2026'!$F$5,(F15+INDEX('Frete 2026'!$F$6:$F$11,H15))/(1-$D$4-$B$4)),""))</f>
        <v>150</v>
      </c>
      <c r="N15" s="23" t="n">
        <f aca="false">IF((1-$D$4-$B$4)&lt;=0,"",IF(MAX('Frete 2026'!$G$5,(F15+INDEX('Frete 2026'!$G$6:$G$11,H15))/(1-$D$4-$B$4))&lt;1000000000,MAX('Frete 2026'!$G$5,(F15+INDEX('Frete 2026'!$G$6:$G$11,H15))/(1-$D$4-$B$4)),""))</f>
        <v>200</v>
      </c>
      <c r="O15" s="43" t="n">
        <f aca="false">MIN(I15:N15)</f>
        <v>74.2882882882883</v>
      </c>
      <c r="P15" s="23" t="n">
        <f aca="false">CEILING(O15-4.9,5)+4.9</f>
        <v>74.9</v>
      </c>
      <c r="Q15" s="46" t="n">
        <f aca="false">((P15)-(F15+IF((P15)&lt;79,INDEX('Frete 2026'!$B$6:$B$11,H15),INDEX('Frete 2026'!$C$6:$G$11,H15,MATCH((P15),'Frete 2026'!$C$5:$G$5,1)))+(P15)*$D$4))/(P15)</f>
        <v>0.154532710280374</v>
      </c>
      <c r="R15" s="43" t="n">
        <f aca="false">IF(((P15)-(F15+IF((P15)&lt;79,INDEX('Frete 2026'!$B$6:$B$11,H15),INDEX('Frete 2026'!$C$6:$G$11,H15,MATCH((P15),'Frete 2026'!$C$5:$G$5,1)))+(P15)*$D$4))/(P15)&gt;=$B$4,P15,IF(((P15+5)-(F15+IF((P15+5)&lt;79,INDEX('Frete 2026'!$B$6:$B$11,H15),INDEX('Frete 2026'!$C$6:$G$11,H15,MATCH((P15+5),'Frete 2026'!$C$5:$G$5,1)))+(P15+5)*$D$4))/(P15+5)&gt;=$B$4,P15+5,P15+10))</f>
        <v>74.9</v>
      </c>
      <c r="S15" s="46" t="n">
        <f aca="false">((R15)-(F15+IF((R15)&lt;79,INDEX('Frete 2026'!$B$6:$B$11,H15),INDEX('Frete 2026'!$C$6:$G$11,H15,MATCH((R15),'Frete 2026'!$C$5:$G$5,1)))+(R15)*$D$4))/(R15)</f>
        <v>0.154532710280374</v>
      </c>
      <c r="T15" s="23" t="str">
        <f aca="false">IF((1-'Taxas 2026'!$C$16-$F$4-$B$4)&lt;=0,"",IF(MAX('Taxas 2026'!$B$16,(F15+'Taxas 2026'!$D$16+Premissas!$B$34)/(1-'Taxas 2026'!$C$16-$F$4-$B$4))&lt;'Taxas 2026'!$B$17,MAX('Taxas 2026'!$B$16,(F15+'Taxas 2026'!$D$16+Premissas!$B$34)/(1-'Taxas 2026'!$C$16-$F$4-$B$4)),""))</f>
        <v/>
      </c>
      <c r="U15" s="23" t="n">
        <f aca="false">IF((1-'Taxas 2026'!$C$17-$F$4-$B$4)&lt;=0,"",IF(MAX('Taxas 2026'!$B$17,(F15+'Taxas 2026'!$D$17+Premissas!$B$34)/(1-'Taxas 2026'!$C$17-$F$4-$B$4))&lt;'Taxas 2026'!$B$18,MAX('Taxas 2026'!$B$17,(F15+'Taxas 2026'!$D$17+Premissas!$B$34)/(1-'Taxas 2026'!$C$17-$F$4-$B$4)),""))</f>
        <v>94.822429906542</v>
      </c>
      <c r="V15" s="23" t="n">
        <f aca="false">IF((1-'Taxas 2026'!$C$18-$F$4-$B$4)&lt;=0,"",IF(MAX('Taxas 2026'!$B$18,(F15+'Taxas 2026'!$D$18+Premissas!$B$34)/(1-'Taxas 2026'!$C$18-$F$4-$B$4))&lt;'Taxas 2026'!$B$19,MAX('Taxas 2026'!$B$18,(F15+'Taxas 2026'!$D$18+Premissas!$B$34)/(1-'Taxas 2026'!$C$18-$F$4-$B$4)),""))</f>
        <v>102.299065420561</v>
      </c>
      <c r="W15" s="23" t="n">
        <f aca="false">IF((1-'Taxas 2026'!$C$19-$F$4-$B$4)&lt;=0,"",IF(MAX('Taxas 2026'!$B$19,(F15+'Taxas 2026'!$D$19+Premissas!$B$34)/(1-'Taxas 2026'!$C$19-$F$4-$B$4))&lt;1000000000,MAX('Taxas 2026'!$B$19,(F15+'Taxas 2026'!$D$19+Premissas!$B$34)/(1-'Taxas 2026'!$C$19-$F$4-$B$4)),""))</f>
        <v>200</v>
      </c>
      <c r="X15" s="43" t="n">
        <f aca="false">MIN(T15:W15)</f>
        <v>94.822429906542</v>
      </c>
      <c r="Y15" s="23" t="n">
        <f aca="false">CEILING(X15-4.9,5)+4.9</f>
        <v>94.9</v>
      </c>
      <c r="Z15" s="46" t="n">
        <f aca="false">((Y15)-(F15+(Y15)*(INDEX('Taxas 2026'!$C$15:$C$19,MATCH((Y15),'Taxas 2026'!$B$15:$B$19,1))+$F$4)+INDEX('Taxas 2026'!$D$15:$D$19,MATCH((Y15),'Taxas 2026'!$B$15:$B$19,1))+Premissas!$B$34))/(Y15)</f>
        <v>0.150437302423604</v>
      </c>
      <c r="AA15" s="43" t="n">
        <f aca="false">IF(((Y15)-(F15+(Y15)*(INDEX('Taxas 2026'!$C$15:$C$19,MATCH((Y15),'Taxas 2026'!$B$15:$B$19,1))+$F$4)+INDEX('Taxas 2026'!$D$15:$D$19,MATCH((Y15),'Taxas 2026'!$B$15:$B$19,1))+Premissas!$B$34))/(Y15)&gt;=$B$4,Y15,IF(((Y15+5)-(F15+(Y15+5)*(INDEX('Taxas 2026'!$C$15:$C$19,MATCH((Y15+5),'Taxas 2026'!$B$15:$B$19,1))+$F$4)+INDEX('Taxas 2026'!$D$15:$D$19,MATCH((Y15+5),'Taxas 2026'!$B$15:$B$19,1))+Premissas!$B$34))/(Y15+5)&gt;=$B$4,Y15+5,Y15+10))</f>
        <v>94.9</v>
      </c>
      <c r="AB15" s="46" t="n">
        <f aca="false">((AA15)-(F15+(AA15)*(INDEX('Taxas 2026'!$C$15:$C$19,MATCH((AA15),'Taxas 2026'!$B$15:$B$19,1))+$F$4)+INDEX('Taxas 2026'!$D$15:$D$19,MATCH((AA15),'Taxas 2026'!$B$15:$B$19,1))+Premissas!$B$34))/(AA15)</f>
        <v>0.150437302423604</v>
      </c>
      <c r="AC15" s="23" t="str">
        <f aca="false">IF((1-'Taxas 2026'!$C$24-$H$4-$B$4)&lt;=0,"",IF(MAX(1,(F15+'Taxas 2026'!$D$24)/(1-'Taxas 2026'!$C$24-$H$4-$B$4))&lt;'Taxas 2026'!$B$25,MAX(1,(F15+'Taxas 2026'!$D$24)/(1-'Taxas 2026'!$C$24-$H$4-$B$4)),""))</f>
        <v/>
      </c>
      <c r="AD15" s="23" t="n">
        <f aca="false">IF((1-'Taxas 2026'!$C$25-$H$4-$B$4)&lt;=0,"",IF(MAX('Taxas 2026'!$B$25,(F15+'Taxas 2026'!$D$25)/(1-'Taxas 2026'!$C$25-$H$4-$B$4))&lt;1000000000,MAX('Taxas 2026'!$B$25,(F15+'Taxas 2026'!$D$25)/(1-'Taxas 2026'!$C$25-$H$4-$B$4)),""))</f>
        <v>93.632183908046</v>
      </c>
      <c r="AE15" s="43" t="n">
        <f aca="false">MIN(AC15:AD15)</f>
        <v>93.632183908046</v>
      </c>
      <c r="AF15" s="23" t="n">
        <f aca="false">CEILING(AE15-4.9,5)+4.9</f>
        <v>94.9</v>
      </c>
      <c r="AG15" s="46" t="n">
        <f aca="false">((AF15)-(F15+(AF15)*(INDEX('Taxas 2026'!$C$24:$C$25,MATCH((AF15),'Taxas 2026'!$B$24:$B$25,1))+$H$4)+INDEX('Taxas 2026'!$D$24:$D$25,MATCH((AF15),'Taxas 2026'!$B$24:$B$25,1))))/(AF15)</f>
        <v>0.155811380400422</v>
      </c>
      <c r="AH15" s="43" t="n">
        <f aca="false">IF(((AF15)-(F15+(AF15)*(INDEX('Taxas 2026'!$C$24:$C$25,MATCH((AF15),'Taxas 2026'!$B$24:$B$25,1))+$H$4)+INDEX('Taxas 2026'!$D$24:$D$25,MATCH((AF15),'Taxas 2026'!$B$24:$B$25,1))))/(AF15)&gt;=$B$4,AF15,IF(((AF15+5)-(F15+(AF15+5)*(INDEX('Taxas 2026'!$C$24:$C$25,MATCH((AF15+5),'Taxas 2026'!$B$24:$B$25,1))+$H$4)+INDEX('Taxas 2026'!$D$24:$D$25,MATCH((AF15+5),'Taxas 2026'!$B$24:$B$25,1))))/(AF15+5)&gt;=$B$4,AF15+5,AF15+10))</f>
        <v>94.9</v>
      </c>
      <c r="AI15" s="46" t="n">
        <f aca="false">((AH15)-(F15+(AH15)*(INDEX('Taxas 2026'!$C$24:$C$25,MATCH((AH15),'Taxas 2026'!$B$24:$B$25,1))+$H$4)+INDEX('Taxas 2026'!$D$24:$D$25,MATCH((AH15),'Taxas 2026'!$B$24:$B$25,1))))/(AH15)</f>
        <v>0.155811380400422</v>
      </c>
      <c r="AJ15" s="43" t="n">
        <f aca="false">MAX(1,(F15+Premissas!$B$45+Premissas!$B$48+INDEX('Frete 2026'!$H$6:$H$11,H15))/(1-$J$4-$B$4))</f>
        <v>141.728682865597</v>
      </c>
      <c r="AK15" s="23" t="n">
        <f aca="false">CEILING(AJ15-4.9,5)+4.9</f>
        <v>144.9</v>
      </c>
      <c r="AL15" s="46" t="n">
        <f aca="false">((AK15)-(F15+Premissas!$B$45+Premissas!$B$48+INDEX('Frete 2026'!$H$6:$H$11,H15)+(AK15)*$J$4))/(AK15)</f>
        <v>0.158136576949621</v>
      </c>
      <c r="AM15" s="43" t="n">
        <f aca="false">IF(((AK15)-(F15+Premissas!$B$45+Premissas!$B$48+INDEX('Frete 2026'!$H$6:$H$11,H15)+(AK15)*$J$4))/(AK15)&gt;=$B$4,AK15,IF(((AK15+5)-(F15+Premissas!$B$45+Premissas!$B$48+INDEX('Frete 2026'!$H$6:$H$11,H15)+(AK15+5)*$J$4))/(AK15+5)&gt;=$B$4,AK15+5,AK15+10))</f>
        <v>144.9</v>
      </c>
      <c r="AN15" s="46" t="n">
        <f aca="false">((AM15)-(F15+Premissas!$B$45+Premissas!$B$48+INDEX('Frete 2026'!$H$6:$H$11,H15)+(AM15)*$J$4))/(AM15)</f>
        <v>0.158136576949621</v>
      </c>
    </row>
    <row r="16" customFormat="false" ht="15" hidden="false" customHeight="false" outlineLevel="0" collapsed="false">
      <c r="A16" s="6" t="s">
        <v>122</v>
      </c>
      <c r="B16" s="57" t="n">
        <v>3</v>
      </c>
      <c r="C16" s="20" t="n">
        <f aca="false">MATCH(A16,'Ficha de Custo'!$B$4:$D$4,0)</f>
        <v>3</v>
      </c>
      <c r="D16" s="17" t="n">
        <f aca="false">INDEX('Ficha de Custo'!$B$14:$D$14,C16)</f>
        <v>31.83</v>
      </c>
      <c r="E16" s="17" t="n">
        <f aca="false">INDEX('Ficha de Custo'!$B$18:$D$21,MATCH(B16,'Ficha de Custo'!$A$18:$A$21,0),C16)</f>
        <v>7</v>
      </c>
      <c r="F16" s="23" t="n">
        <f aca="false">D16*B16+E16</f>
        <v>102.49</v>
      </c>
      <c r="G16" s="49" t="n">
        <f aca="false">INDEX('Ficha de Custo'!$B$36:$D$39,MATCH(B16,'Ficha de Custo'!$A$36:$A$39,0),C16)</f>
        <v>0.65</v>
      </c>
      <c r="H16" s="20" t="n">
        <f aca="false">MATCH(G16-0.0000001,'Frete 2026'!$A$6:$A$11,1)</f>
        <v>3</v>
      </c>
      <c r="I16" s="23" t="str">
        <f aca="false">IF((1-$D$4-$B$4)&lt;=0,"",IF(MAX(1,(F16+INDEX('Frete 2026'!$B$6:$B$11,H16))/(1-$D$4-$B$4))&lt;79,MAX(1,(F16+INDEX('Frete 2026'!$B$6:$B$11,H16))/(1-$D$4-$B$4)),""))</f>
        <v/>
      </c>
      <c r="J16" s="23" t="str">
        <f aca="false">IF((1-$D$4-$B$4)&lt;=0,"",IF(MAX('Frete 2026'!$C$5,(F16+INDEX('Frete 2026'!$C$6:$C$11,H16))/(1-$D$4-$B$4))&lt;'Frete 2026'!$D$5,MAX('Frete 2026'!$C$5,(F16+INDEX('Frete 2026'!$C$6:$C$11,H16))/(1-$D$4-$B$4)),""))</f>
        <v/>
      </c>
      <c r="K16" s="23" t="str">
        <f aca="false">IF((1-$D$4-$B$4)&lt;=0,"",IF(MAX('Frete 2026'!$D$5,(F16+INDEX('Frete 2026'!$D$6:$D$11,H16))/(1-$D$4-$B$4))&lt;'Frete 2026'!$E$5,MAX('Frete 2026'!$D$5,(F16+INDEX('Frete 2026'!$D$6:$D$11,H16))/(1-$D$4-$B$4)),""))</f>
        <v/>
      </c>
      <c r="L16" s="23" t="str">
        <f aca="false">IF((1-$D$4-$B$4)&lt;=0,"",IF(MAX('Frete 2026'!$E$5,(F16+INDEX('Frete 2026'!$E$6:$E$11,H16))/(1-$D$4-$B$4))&lt;'Frete 2026'!$F$5,MAX('Frete 2026'!$E$5,(F16+INDEX('Frete 2026'!$E$6:$E$11,H16))/(1-$D$4-$B$4)),""))</f>
        <v/>
      </c>
      <c r="M16" s="23" t="str">
        <f aca="false">IF((1-$D$4-$B$4)&lt;=0,"",IF(MAX('Frete 2026'!$F$5,(F16+INDEX('Frete 2026'!$F$6:$F$11,H16))/(1-$D$4-$B$4))&lt;'Frete 2026'!$G$5,MAX('Frete 2026'!$F$5,(F16+INDEX('Frete 2026'!$F$6:$F$11,H16))/(1-$D$4-$B$4)),""))</f>
        <v/>
      </c>
      <c r="N16" s="23" t="n">
        <f aca="false">IF((1-$D$4-$B$4)&lt;=0,"",IF(MAX('Frete 2026'!$G$5,(F16+INDEX('Frete 2026'!$G$6:$G$11,H16))/(1-$D$4-$B$4))&lt;1000000000,MAX('Frete 2026'!$G$5,(F16+INDEX('Frete 2026'!$G$6:$G$11,H16))/(1-$D$4-$B$4)),""))</f>
        <v>224.576576576577</v>
      </c>
      <c r="O16" s="43" t="n">
        <f aca="false">MIN(I16:N16)</f>
        <v>224.576576576577</v>
      </c>
      <c r="P16" s="23" t="n">
        <f aca="false">CEILING(O16-4.9,5)+4.9</f>
        <v>224.9</v>
      </c>
      <c r="Q16" s="46" t="n">
        <f aca="false">((P16)-(F16+IF((P16)&lt;79,INDEX('Frete 2026'!$B$6:$B$11,H16),INDEX('Frete 2026'!$C$6:$G$11,H16,MATCH((P16),'Frete 2026'!$C$5:$G$5,1)))+(P16)*$D$4))/(P16)</f>
        <v>0.150798132503335</v>
      </c>
      <c r="R16" s="43" t="n">
        <f aca="false">IF(((P16)-(F16+IF((P16)&lt;79,INDEX('Frete 2026'!$B$6:$B$11,H16),INDEX('Frete 2026'!$C$6:$G$11,H16,MATCH((P16),'Frete 2026'!$C$5:$G$5,1)))+(P16)*$D$4))/(P16)&gt;=$B$4,P16,IF(((P16+5)-(F16+IF((P16+5)&lt;79,INDEX('Frete 2026'!$B$6:$B$11,H16),INDEX('Frete 2026'!$C$6:$G$11,H16,MATCH((P16+5),'Frete 2026'!$C$5:$G$5,1)))+(P16+5)*$D$4))/(P16+5)&gt;=$B$4,P16+5,P16+10))</f>
        <v>224.9</v>
      </c>
      <c r="S16" s="46" t="n">
        <f aca="false">((R16)-(F16+IF((R16)&lt;79,INDEX('Frete 2026'!$B$6:$B$11,H16),INDEX('Frete 2026'!$C$6:$G$11,H16,MATCH((R16),'Frete 2026'!$C$5:$G$5,1)))+(R16)*$D$4))/(R16)</f>
        <v>0.150798132503335</v>
      </c>
      <c r="T16" s="23" t="str">
        <f aca="false">IF((1-'Taxas 2026'!$C$16-$F$4-$B$4)&lt;=0,"",IF(MAX('Taxas 2026'!$B$16,(F16+'Taxas 2026'!$D$16+Premissas!$B$34)/(1-'Taxas 2026'!$C$16-$F$4-$B$4))&lt;'Taxas 2026'!$B$17,MAX('Taxas 2026'!$B$16,(F16+'Taxas 2026'!$D$16+Premissas!$B$34)/(1-'Taxas 2026'!$C$16-$F$4-$B$4)),""))</f>
        <v/>
      </c>
      <c r="U16" s="23" t="str">
        <f aca="false">IF((1-'Taxas 2026'!$C$17-$F$4-$B$4)&lt;=0,"",IF(MAX('Taxas 2026'!$B$17,(F16+'Taxas 2026'!$D$17+Premissas!$B$34)/(1-'Taxas 2026'!$C$17-$F$4-$B$4))&lt;'Taxas 2026'!$B$18,MAX('Taxas 2026'!$B$17,(F16+'Taxas 2026'!$D$17+Premissas!$B$34)/(1-'Taxas 2026'!$C$17-$F$4-$B$4)),""))</f>
        <v/>
      </c>
      <c r="V16" s="23" t="str">
        <f aca="false">IF((1-'Taxas 2026'!$C$18-$F$4-$B$4)&lt;=0,"",IF(MAX('Taxas 2026'!$B$18,(F16+'Taxas 2026'!$D$18+Premissas!$B$34)/(1-'Taxas 2026'!$C$18-$F$4-$B$4))&lt;'Taxas 2026'!$B$19,MAX('Taxas 2026'!$B$18,(F16+'Taxas 2026'!$D$18+Premissas!$B$34)/(1-'Taxas 2026'!$C$18-$F$4-$B$4)),""))</f>
        <v/>
      </c>
      <c r="W16" s="23" t="n">
        <f aca="false">IF((1-'Taxas 2026'!$C$19-$F$4-$B$4)&lt;=0,"",IF(MAX('Taxas 2026'!$B$19,(F16+'Taxas 2026'!$D$19+Premissas!$B$34)/(1-'Taxas 2026'!$C$19-$F$4-$B$4))&lt;1000000000,MAX('Taxas 2026'!$B$19,(F16+'Taxas 2026'!$D$19+Premissas!$B$34)/(1-'Taxas 2026'!$C$19-$F$4-$B$4)),""))</f>
        <v>240.168224299065</v>
      </c>
      <c r="X16" s="43" t="n">
        <f aca="false">MIN(T16:W16)</f>
        <v>240.168224299065</v>
      </c>
      <c r="Y16" s="23" t="n">
        <f aca="false">CEILING(X16-4.9,5)+4.9</f>
        <v>244.9</v>
      </c>
      <c r="Z16" s="46" t="n">
        <f aca="false">((Y16)-(F16+(Y16)*(INDEX('Taxas 2026'!$C$15:$C$19,MATCH((Y16),'Taxas 2026'!$B$15:$B$19,1))+$F$4)+INDEX('Taxas 2026'!$D$15:$D$19,MATCH((Y16),'Taxas 2026'!$B$15:$B$19,1))+Premissas!$B$34))/(Y16)</f>
        <v>0.160336872192732</v>
      </c>
      <c r="AA16" s="43" t="n">
        <f aca="false">IF(((Y16)-(F16+(Y16)*(INDEX('Taxas 2026'!$C$15:$C$19,MATCH((Y16),'Taxas 2026'!$B$15:$B$19,1))+$F$4)+INDEX('Taxas 2026'!$D$15:$D$19,MATCH((Y16),'Taxas 2026'!$B$15:$B$19,1))+Premissas!$B$34))/(Y16)&gt;=$B$4,Y16,IF(((Y16+5)-(F16+(Y16+5)*(INDEX('Taxas 2026'!$C$15:$C$19,MATCH((Y16+5),'Taxas 2026'!$B$15:$B$19,1))+$F$4)+INDEX('Taxas 2026'!$D$15:$D$19,MATCH((Y16+5),'Taxas 2026'!$B$15:$B$19,1))+Premissas!$B$34))/(Y16+5)&gt;=$B$4,Y16+5,Y16+10))</f>
        <v>244.9</v>
      </c>
      <c r="AB16" s="46" t="n">
        <f aca="false">((AA16)-(F16+(AA16)*(INDEX('Taxas 2026'!$C$15:$C$19,MATCH((AA16),'Taxas 2026'!$B$15:$B$19,1))+$F$4)+INDEX('Taxas 2026'!$D$15:$D$19,MATCH((AA16),'Taxas 2026'!$B$15:$B$19,1))+Premissas!$B$34))/(AA16)</f>
        <v>0.160336872192732</v>
      </c>
      <c r="AC16" s="23" t="str">
        <f aca="false">IF((1-'Taxas 2026'!$C$24-$H$4-$B$4)&lt;=0,"",IF(MAX(1,(F16+'Taxas 2026'!$D$24)/(1-'Taxas 2026'!$C$24-$H$4-$B$4))&lt;'Taxas 2026'!$B$25,MAX(1,(F16+'Taxas 2026'!$D$24)/(1-'Taxas 2026'!$C$24-$H$4-$B$4)),""))</f>
        <v/>
      </c>
      <c r="AD16" s="23" t="n">
        <f aca="false">IF((1-'Taxas 2026'!$C$25-$H$4-$B$4)&lt;=0,"",IF(MAX('Taxas 2026'!$B$25,(F16+'Taxas 2026'!$D$25)/(1-'Taxas 2026'!$C$25-$H$4-$B$4))&lt;1000000000,MAX('Taxas 2026'!$B$25,(F16+'Taxas 2026'!$D$25)/(1-'Taxas 2026'!$C$25-$H$4-$B$4)),""))</f>
        <v>249.402298850575</v>
      </c>
      <c r="AE16" s="43" t="n">
        <f aca="false">MIN(AC16:AD16)</f>
        <v>249.402298850575</v>
      </c>
      <c r="AF16" s="23" t="n">
        <f aca="false">CEILING(AE16-4.9,5)+4.9</f>
        <v>249.9</v>
      </c>
      <c r="AG16" s="46" t="n">
        <f aca="false">((AF16)-(F16+(AF16)*(INDEX('Taxas 2026'!$C$24:$C$25,MATCH((AF16),'Taxas 2026'!$B$24:$B$25,1))+$H$4)+INDEX('Taxas 2026'!$D$24:$D$25,MATCH((AF16),'Taxas 2026'!$B$24:$B$25,1))))/(AF16)</f>
        <v>0.150866346538615</v>
      </c>
      <c r="AH16" s="43" t="n">
        <f aca="false">IF(((AF16)-(F16+(AF16)*(INDEX('Taxas 2026'!$C$24:$C$25,MATCH((AF16),'Taxas 2026'!$B$24:$B$25,1))+$H$4)+INDEX('Taxas 2026'!$D$24:$D$25,MATCH((AF16),'Taxas 2026'!$B$24:$B$25,1))))/(AF16)&gt;=$B$4,AF16,IF(((AF16+5)-(F16+(AF16+5)*(INDEX('Taxas 2026'!$C$24:$C$25,MATCH((AF16+5),'Taxas 2026'!$B$24:$B$25,1))+$H$4)+INDEX('Taxas 2026'!$D$24:$D$25,MATCH((AF16+5),'Taxas 2026'!$B$24:$B$25,1))))/(AF16+5)&gt;=$B$4,AF16+5,AF16+10))</f>
        <v>249.9</v>
      </c>
      <c r="AI16" s="46" t="n">
        <f aca="false">((AH16)-(F16+(AH16)*(INDEX('Taxas 2026'!$C$24:$C$25,MATCH((AH16),'Taxas 2026'!$B$24:$B$25,1))+$H$4)+INDEX('Taxas 2026'!$D$24:$D$25,MATCH((AH16),'Taxas 2026'!$B$24:$B$25,1))))/(AH16)</f>
        <v>0.150866346538615</v>
      </c>
      <c r="AJ16" s="43" t="n">
        <f aca="false">MAX(1,(F16+Premissas!$B$45+Premissas!$B$48+INDEX('Frete 2026'!$H$6:$H$11,H16))/(1-$J$4-$B$4))</f>
        <v>332.063122029947</v>
      </c>
      <c r="AK16" s="23" t="n">
        <f aca="false">CEILING(AJ16-4.9,5)+4.9</f>
        <v>334.9</v>
      </c>
      <c r="AL16" s="46" t="n">
        <f aca="false">((AK16)-(F16+Premissas!$B$45+Premissas!$B$48+INDEX('Frete 2026'!$H$6:$H$11,H16)+(AK16)*$J$4))/(AK16)</f>
        <v>0.153149168906141</v>
      </c>
      <c r="AM16" s="43" t="n">
        <f aca="false">IF(((AK16)-(F16+Premissas!$B$45+Premissas!$B$48+INDEX('Frete 2026'!$H$6:$H$11,H16)+(AK16)*$J$4))/(AK16)&gt;=$B$4,AK16,IF(((AK16+5)-(F16+Premissas!$B$45+Premissas!$B$48+INDEX('Frete 2026'!$H$6:$H$11,H16)+(AK16+5)*$J$4))/(AK16+5)&gt;=$B$4,AK16+5,AK16+10))</f>
        <v>334.9</v>
      </c>
      <c r="AN16" s="46" t="n">
        <f aca="false">((AM16)-(F16+Premissas!$B$45+Premissas!$B$48+INDEX('Frete 2026'!$H$6:$H$11,H16)+(AM16)*$J$4))/(AM16)</f>
        <v>0.153149168906141</v>
      </c>
    </row>
    <row r="17" customFormat="false" ht="15" hidden="false" customHeight="false" outlineLevel="0" collapsed="false">
      <c r="A17" s="6" t="s">
        <v>122</v>
      </c>
      <c r="B17" s="57" t="n">
        <v>5</v>
      </c>
      <c r="C17" s="20" t="n">
        <f aca="false">MATCH(A17,'Ficha de Custo'!$B$4:$D$4,0)</f>
        <v>3</v>
      </c>
      <c r="D17" s="17" t="n">
        <f aca="false">INDEX('Ficha de Custo'!$B$14:$D$14,C17)</f>
        <v>31.83</v>
      </c>
      <c r="E17" s="17" t="n">
        <f aca="false">INDEX('Ficha de Custo'!$B$18:$D$21,MATCH(B17,'Ficha de Custo'!$A$18:$A$21,0),C17)</f>
        <v>9</v>
      </c>
      <c r="F17" s="23" t="n">
        <f aca="false">D17*B17+E17</f>
        <v>168.15</v>
      </c>
      <c r="G17" s="49" t="n">
        <f aca="false">INDEX('Ficha de Custo'!$B$36:$D$39,MATCH(B17,'Ficha de Custo'!$A$36:$A$39,0),C17)</f>
        <v>1.05</v>
      </c>
      <c r="H17" s="20" t="n">
        <f aca="false">MATCH(G17-0.0000001,'Frete 2026'!$A$6:$A$11,1)</f>
        <v>4</v>
      </c>
      <c r="I17" s="23" t="str">
        <f aca="false">IF((1-$D$4-$B$4)&lt;=0,"",IF(MAX(1,(F17+INDEX('Frete 2026'!$B$6:$B$11,H17))/(1-$D$4-$B$4))&lt;79,MAX(1,(F17+INDEX('Frete 2026'!$B$6:$B$11,H17))/(1-$D$4-$B$4)),""))</f>
        <v/>
      </c>
      <c r="J17" s="23" t="str">
        <f aca="false">IF((1-$D$4-$B$4)&lt;=0,"",IF(MAX('Frete 2026'!$C$5,(F17+INDEX('Frete 2026'!$C$6:$C$11,H17))/(1-$D$4-$B$4))&lt;'Frete 2026'!$D$5,MAX('Frete 2026'!$C$5,(F17+INDEX('Frete 2026'!$C$6:$C$11,H17))/(1-$D$4-$B$4)),""))</f>
        <v/>
      </c>
      <c r="K17" s="23" t="str">
        <f aca="false">IF((1-$D$4-$B$4)&lt;=0,"",IF(MAX('Frete 2026'!$D$5,(F17+INDEX('Frete 2026'!$D$6:$D$11,H17))/(1-$D$4-$B$4))&lt;'Frete 2026'!$E$5,MAX('Frete 2026'!$D$5,(F17+INDEX('Frete 2026'!$D$6:$D$11,H17))/(1-$D$4-$B$4)),""))</f>
        <v/>
      </c>
      <c r="L17" s="23" t="str">
        <f aca="false">IF((1-$D$4-$B$4)&lt;=0,"",IF(MAX('Frete 2026'!$E$5,(F17+INDEX('Frete 2026'!$E$6:$E$11,H17))/(1-$D$4-$B$4))&lt;'Frete 2026'!$F$5,MAX('Frete 2026'!$E$5,(F17+INDEX('Frete 2026'!$E$6:$E$11,H17))/(1-$D$4-$B$4)),""))</f>
        <v/>
      </c>
      <c r="M17" s="23" t="str">
        <f aca="false">IF((1-$D$4-$B$4)&lt;=0,"",IF(MAX('Frete 2026'!$F$5,(F17+INDEX('Frete 2026'!$F$6:$F$11,H17))/(1-$D$4-$B$4))&lt;'Frete 2026'!$G$5,MAX('Frete 2026'!$F$5,(F17+INDEX('Frete 2026'!$F$6:$F$11,H17))/(1-$D$4-$B$4)),""))</f>
        <v/>
      </c>
      <c r="N17" s="23" t="n">
        <f aca="false">IF((1-$D$4-$B$4)&lt;=0,"",IF(MAX('Frete 2026'!$G$5,(F17+INDEX('Frete 2026'!$G$6:$G$11,H17))/(1-$D$4-$B$4))&lt;1000000000,MAX('Frete 2026'!$G$5,(F17+INDEX('Frete 2026'!$G$6:$G$11,H17))/(1-$D$4-$B$4)),""))</f>
        <v>347.387387387387</v>
      </c>
      <c r="O17" s="43" t="n">
        <f aca="false">MIN(I17:N17)</f>
        <v>347.387387387387</v>
      </c>
      <c r="P17" s="23" t="n">
        <f aca="false">CEILING(O17-4.9,5)+4.9</f>
        <v>349.9</v>
      </c>
      <c r="Q17" s="46" t="n">
        <f aca="false">((P17)-(F17+IF((P17)&lt;79,INDEX('Frete 2026'!$B$6:$B$11,H17),INDEX('Frete 2026'!$C$6:$G$11,H17,MATCH((P17),'Frete 2026'!$C$5:$G$5,1)))+(P17)*$D$4))/(P17)</f>
        <v>0.153985424406973</v>
      </c>
      <c r="R17" s="43" t="n">
        <f aca="false">IF(((P17)-(F17+IF((P17)&lt;79,INDEX('Frete 2026'!$B$6:$B$11,H17),INDEX('Frete 2026'!$C$6:$G$11,H17,MATCH((P17),'Frete 2026'!$C$5:$G$5,1)))+(P17)*$D$4))/(P17)&gt;=$B$4,P17,IF(((P17+5)-(F17+IF((P17+5)&lt;79,INDEX('Frete 2026'!$B$6:$B$11,H17),INDEX('Frete 2026'!$C$6:$G$11,H17,MATCH((P17+5),'Frete 2026'!$C$5:$G$5,1)))+(P17+5)*$D$4))/(P17+5)&gt;=$B$4,P17+5,P17+10))</f>
        <v>349.9</v>
      </c>
      <c r="S17" s="46" t="n">
        <f aca="false">((R17)-(F17+IF((R17)&lt;79,INDEX('Frete 2026'!$B$6:$B$11,H17),INDEX('Frete 2026'!$C$6:$G$11,H17,MATCH((R17),'Frete 2026'!$C$5:$G$5,1)))+(R17)*$D$4))/(R17)</f>
        <v>0.153985424406973</v>
      </c>
      <c r="T17" s="23" t="str">
        <f aca="false">IF((1-'Taxas 2026'!$C$16-$F$4-$B$4)&lt;=0,"",IF(MAX('Taxas 2026'!$B$16,(F17+'Taxas 2026'!$D$16+Premissas!$B$34)/(1-'Taxas 2026'!$C$16-$F$4-$B$4))&lt;'Taxas 2026'!$B$17,MAX('Taxas 2026'!$B$16,(F17+'Taxas 2026'!$D$16+Premissas!$B$34)/(1-'Taxas 2026'!$C$16-$F$4-$B$4)),""))</f>
        <v/>
      </c>
      <c r="U17" s="23" t="str">
        <f aca="false">IF((1-'Taxas 2026'!$C$17-$F$4-$B$4)&lt;=0,"",IF(MAX('Taxas 2026'!$B$17,(F17+'Taxas 2026'!$D$17+Premissas!$B$34)/(1-'Taxas 2026'!$C$17-$F$4-$B$4))&lt;'Taxas 2026'!$B$18,MAX('Taxas 2026'!$B$17,(F17+'Taxas 2026'!$D$17+Premissas!$B$34)/(1-'Taxas 2026'!$C$17-$F$4-$B$4)),""))</f>
        <v/>
      </c>
      <c r="V17" s="23" t="str">
        <f aca="false">IF((1-'Taxas 2026'!$C$18-$F$4-$B$4)&lt;=0,"",IF(MAX('Taxas 2026'!$B$18,(F17+'Taxas 2026'!$D$18+Premissas!$B$34)/(1-'Taxas 2026'!$C$18-$F$4-$B$4))&lt;'Taxas 2026'!$B$19,MAX('Taxas 2026'!$B$18,(F17+'Taxas 2026'!$D$18+Premissas!$B$34)/(1-'Taxas 2026'!$C$18-$F$4-$B$4)),""))</f>
        <v/>
      </c>
      <c r="W17" s="23" t="n">
        <f aca="false">IF((1-'Taxas 2026'!$C$19-$F$4-$B$4)&lt;=0,"",IF(MAX('Taxas 2026'!$B$19,(F17+'Taxas 2026'!$D$19+Premissas!$B$34)/(1-'Taxas 2026'!$C$19-$F$4-$B$4))&lt;1000000000,MAX('Taxas 2026'!$B$19,(F17+'Taxas 2026'!$D$19+Premissas!$B$34)/(1-'Taxas 2026'!$C$19-$F$4-$B$4)),""))</f>
        <v>362.897196261682</v>
      </c>
      <c r="X17" s="43" t="n">
        <f aca="false">MIN(T17:W17)</f>
        <v>362.897196261682</v>
      </c>
      <c r="Y17" s="23" t="n">
        <f aca="false">CEILING(X17-4.9,5)+4.9</f>
        <v>364.9</v>
      </c>
      <c r="Z17" s="46" t="n">
        <f aca="false">((Y17)-(F17+(Y17)*(INDEX('Taxas 2026'!$C$15:$C$19,MATCH((Y17),'Taxas 2026'!$B$15:$B$19,1))+$F$4)+INDEX('Taxas 2026'!$D$15:$D$19,MATCH((Y17),'Taxas 2026'!$B$15:$B$19,1))+Premissas!$B$34))/(Y17)</f>
        <v>0.152936420937243</v>
      </c>
      <c r="AA17" s="43" t="n">
        <f aca="false">IF(((Y17)-(F17+(Y17)*(INDEX('Taxas 2026'!$C$15:$C$19,MATCH((Y17),'Taxas 2026'!$B$15:$B$19,1))+$F$4)+INDEX('Taxas 2026'!$D$15:$D$19,MATCH((Y17),'Taxas 2026'!$B$15:$B$19,1))+Premissas!$B$34))/(Y17)&gt;=$B$4,Y17,IF(((Y17+5)-(F17+(Y17+5)*(INDEX('Taxas 2026'!$C$15:$C$19,MATCH((Y17+5),'Taxas 2026'!$B$15:$B$19,1))+$F$4)+INDEX('Taxas 2026'!$D$15:$D$19,MATCH((Y17+5),'Taxas 2026'!$B$15:$B$19,1))+Premissas!$B$34))/(Y17+5)&gt;=$B$4,Y17+5,Y17+10))</f>
        <v>364.9</v>
      </c>
      <c r="AB17" s="46" t="n">
        <f aca="false">((AA17)-(F17+(AA17)*(INDEX('Taxas 2026'!$C$15:$C$19,MATCH((AA17),'Taxas 2026'!$B$15:$B$19,1))+$F$4)+INDEX('Taxas 2026'!$D$15:$D$19,MATCH((AA17),'Taxas 2026'!$B$15:$B$19,1))+Premissas!$B$34))/(AA17)</f>
        <v>0.152936420937243</v>
      </c>
      <c r="AC17" s="23" t="str">
        <f aca="false">IF((1-'Taxas 2026'!$C$24-$H$4-$B$4)&lt;=0,"",IF(MAX(1,(F17+'Taxas 2026'!$D$24)/(1-'Taxas 2026'!$C$24-$H$4-$B$4))&lt;'Taxas 2026'!$B$25,MAX(1,(F17+'Taxas 2026'!$D$24)/(1-'Taxas 2026'!$C$24-$H$4-$B$4)),""))</f>
        <v/>
      </c>
      <c r="AD17" s="23" t="n">
        <f aca="false">IF((1-'Taxas 2026'!$C$25-$H$4-$B$4)&lt;=0,"",IF(MAX('Taxas 2026'!$B$25,(F17+'Taxas 2026'!$D$25)/(1-'Taxas 2026'!$C$25-$H$4-$B$4))&lt;1000000000,MAX('Taxas 2026'!$B$25,(F17+'Taxas 2026'!$D$25)/(1-'Taxas 2026'!$C$25-$H$4-$B$4)),""))</f>
        <v>400.344827586207</v>
      </c>
      <c r="AE17" s="43" t="n">
        <f aca="false">MIN(AC17:AD17)</f>
        <v>400.344827586207</v>
      </c>
      <c r="AF17" s="23" t="n">
        <f aca="false">CEILING(AE17-4.9,5)+4.9</f>
        <v>404.9</v>
      </c>
      <c r="AG17" s="46" t="n">
        <f aca="false">((AF17)-(F17+(AF17)*(INDEX('Taxas 2026'!$C$24:$C$25,MATCH((AF17),'Taxas 2026'!$B$24:$B$25,1))+$H$4)+INDEX('Taxas 2026'!$D$24:$D$25,MATCH((AF17),'Taxas 2026'!$B$24:$B$25,1))))/(AF17)</f>
        <v>0.154893800938503</v>
      </c>
      <c r="AH17" s="43" t="n">
        <f aca="false">IF(((AF17)-(F17+(AF17)*(INDEX('Taxas 2026'!$C$24:$C$25,MATCH((AF17),'Taxas 2026'!$B$24:$B$25,1))+$H$4)+INDEX('Taxas 2026'!$D$24:$D$25,MATCH((AF17),'Taxas 2026'!$B$24:$B$25,1))))/(AF17)&gt;=$B$4,AF17,IF(((AF17+5)-(F17+(AF17+5)*(INDEX('Taxas 2026'!$C$24:$C$25,MATCH((AF17+5),'Taxas 2026'!$B$24:$B$25,1))+$H$4)+INDEX('Taxas 2026'!$D$24:$D$25,MATCH((AF17+5),'Taxas 2026'!$B$24:$B$25,1))))/(AF17+5)&gt;=$B$4,AF17+5,AF17+10))</f>
        <v>404.9</v>
      </c>
      <c r="AI17" s="46" t="n">
        <f aca="false">((AH17)-(F17+(AH17)*(INDEX('Taxas 2026'!$C$24:$C$25,MATCH((AH17),'Taxas 2026'!$B$24:$B$25,1))+$H$4)+INDEX('Taxas 2026'!$D$24:$D$25,MATCH((AH17),'Taxas 2026'!$B$24:$B$25,1))))/(AH17)</f>
        <v>0.154893800938503</v>
      </c>
      <c r="AJ17" s="43" t="n">
        <f aca="false">MAX(1,(F17+Premissas!$B$45+Premissas!$B$48+INDEX('Frete 2026'!$H$6:$H$11,H17))/(1-$J$4-$B$4))</f>
        <v>516.748856809827</v>
      </c>
      <c r="AK17" s="23" t="n">
        <f aca="false">CEILING(AJ17-4.9,5)+4.9</f>
        <v>519.9</v>
      </c>
      <c r="AL17" s="46" t="n">
        <f aca="false">((AK17)-(F17+Premissas!$B$45+Premissas!$B$48+INDEX('Frete 2026'!$H$6:$H$11,H17)+(AK17)*$J$4))/(AK17)</f>
        <v>0.152253298711291</v>
      </c>
      <c r="AM17" s="43" t="n">
        <f aca="false">IF(((AK17)-(F17+Premissas!$B$45+Premissas!$B$48+INDEX('Frete 2026'!$H$6:$H$11,H17)+(AK17)*$J$4))/(AK17)&gt;=$B$4,AK17,IF(((AK17+5)-(F17+Premissas!$B$45+Premissas!$B$48+INDEX('Frete 2026'!$H$6:$H$11,H17)+(AK17+5)*$J$4))/(AK17+5)&gt;=$B$4,AK17+5,AK17+10))</f>
        <v>519.9</v>
      </c>
      <c r="AN17" s="46" t="n">
        <f aca="false">((AM17)-(F17+Premissas!$B$45+Premissas!$B$48+INDEX('Frete 2026'!$H$6:$H$11,H17)+(AM17)*$J$4))/(AM17)</f>
        <v>0.152253298711291</v>
      </c>
    </row>
    <row r="18" customFormat="false" ht="15" hidden="false" customHeight="false" outlineLevel="0" collapsed="false">
      <c r="A18" s="6" t="s">
        <v>122</v>
      </c>
      <c r="B18" s="57" t="n">
        <v>10</v>
      </c>
      <c r="C18" s="20" t="n">
        <f aca="false">MATCH(A18,'Ficha de Custo'!$B$4:$D$4,0)</f>
        <v>3</v>
      </c>
      <c r="D18" s="17" t="n">
        <f aca="false">INDEX('Ficha de Custo'!$B$14:$D$14,C18)</f>
        <v>31.83</v>
      </c>
      <c r="E18" s="17" t="n">
        <f aca="false">INDEX('Ficha de Custo'!$B$18:$D$21,MATCH(B18,'Ficha de Custo'!$A$18:$A$21,0),C18)</f>
        <v>12</v>
      </c>
      <c r="F18" s="23" t="n">
        <f aca="false">D18*B18+E18</f>
        <v>330.3</v>
      </c>
      <c r="G18" s="49" t="n">
        <f aca="false">INDEX('Ficha de Custo'!$B$36:$D$39,MATCH(B18,'Ficha de Custo'!$A$36:$A$39,0),C18)</f>
        <v>2.04</v>
      </c>
      <c r="H18" s="20" t="n">
        <f aca="false">MATCH(G18-0.0000001,'Frete 2026'!$A$6:$A$11,1)</f>
        <v>6</v>
      </c>
      <c r="I18" s="23" t="str">
        <f aca="false">IF((1-$D$4-$B$4)&lt;=0,"",IF(MAX(1,(F18+INDEX('Frete 2026'!$B$6:$B$11,H18))/(1-$D$4-$B$4))&lt;79,MAX(1,(F18+INDEX('Frete 2026'!$B$6:$B$11,H18))/(1-$D$4-$B$4)),""))</f>
        <v/>
      </c>
      <c r="J18" s="23" t="str">
        <f aca="false">IF((1-$D$4-$B$4)&lt;=0,"",IF(MAX('Frete 2026'!$C$5,(F18+INDEX('Frete 2026'!$C$6:$C$11,H18))/(1-$D$4-$B$4))&lt;'Frete 2026'!$D$5,MAX('Frete 2026'!$C$5,(F18+INDEX('Frete 2026'!$C$6:$C$11,H18))/(1-$D$4-$B$4)),""))</f>
        <v/>
      </c>
      <c r="K18" s="23" t="str">
        <f aca="false">IF((1-$D$4-$B$4)&lt;=0,"",IF(MAX('Frete 2026'!$D$5,(F18+INDEX('Frete 2026'!$D$6:$D$11,H18))/(1-$D$4-$B$4))&lt;'Frete 2026'!$E$5,MAX('Frete 2026'!$D$5,(F18+INDEX('Frete 2026'!$D$6:$D$11,H18))/(1-$D$4-$B$4)),""))</f>
        <v/>
      </c>
      <c r="L18" s="23" t="str">
        <f aca="false">IF((1-$D$4-$B$4)&lt;=0,"",IF(MAX('Frete 2026'!$E$5,(F18+INDEX('Frete 2026'!$E$6:$E$11,H18))/(1-$D$4-$B$4))&lt;'Frete 2026'!$F$5,MAX('Frete 2026'!$E$5,(F18+INDEX('Frete 2026'!$E$6:$E$11,H18))/(1-$D$4-$B$4)),""))</f>
        <v/>
      </c>
      <c r="M18" s="23" t="str">
        <f aca="false">IF((1-$D$4-$B$4)&lt;=0,"",IF(MAX('Frete 2026'!$F$5,(F18+INDEX('Frete 2026'!$F$6:$F$11,H18))/(1-$D$4-$B$4))&lt;'Frete 2026'!$G$5,MAX('Frete 2026'!$F$5,(F18+INDEX('Frete 2026'!$F$6:$F$11,H18))/(1-$D$4-$B$4)),""))</f>
        <v/>
      </c>
      <c r="N18" s="23" t="n">
        <f aca="false">IF((1-$D$4-$B$4)&lt;=0,"",IF(MAX('Frete 2026'!$G$5,(F18+INDEX('Frete 2026'!$G$6:$G$11,H18))/(1-$D$4-$B$4))&lt;1000000000,MAX('Frete 2026'!$G$5,(F18+INDEX('Frete 2026'!$G$6:$G$11,H18))/(1-$D$4-$B$4)),""))</f>
        <v>640.810810810811</v>
      </c>
      <c r="O18" s="43" t="n">
        <f aca="false">MIN(I18:N18)</f>
        <v>640.810810810811</v>
      </c>
      <c r="P18" s="23" t="n">
        <f aca="false">CEILING(O18-4.9,5)+4.9</f>
        <v>644.9</v>
      </c>
      <c r="Q18" s="46" t="n">
        <f aca="false">((P18)-(F18+IF((P18)&lt;79,INDEX('Frete 2026'!$B$6:$B$11,H18),INDEX('Frete 2026'!$C$6:$G$11,H18,MATCH((P18),'Frete 2026'!$C$5:$G$5,1)))+(P18)*$D$4))/(P18)</f>
        <v>0.153519150255854</v>
      </c>
      <c r="R18" s="43" t="n">
        <f aca="false">IF(((P18)-(F18+IF((P18)&lt;79,INDEX('Frete 2026'!$B$6:$B$11,H18),INDEX('Frete 2026'!$C$6:$G$11,H18,MATCH((P18),'Frete 2026'!$C$5:$G$5,1)))+(P18)*$D$4))/(P18)&gt;=$B$4,P18,IF(((P18+5)-(F18+IF((P18+5)&lt;79,INDEX('Frete 2026'!$B$6:$B$11,H18),INDEX('Frete 2026'!$C$6:$G$11,H18,MATCH((P18+5),'Frete 2026'!$C$5:$G$5,1)))+(P18+5)*$D$4))/(P18+5)&gt;=$B$4,P18+5,P18+10))</f>
        <v>644.9</v>
      </c>
      <c r="S18" s="46" t="n">
        <f aca="false">((R18)-(F18+IF((R18)&lt;79,INDEX('Frete 2026'!$B$6:$B$11,H18),INDEX('Frete 2026'!$C$6:$G$11,H18,MATCH((R18),'Frete 2026'!$C$5:$G$5,1)))+(R18)*$D$4))/(R18)</f>
        <v>0.153519150255854</v>
      </c>
      <c r="T18" s="23" t="str">
        <f aca="false">IF((1-'Taxas 2026'!$C$16-$F$4-$B$4)&lt;=0,"",IF(MAX('Taxas 2026'!$B$16,(F18+'Taxas 2026'!$D$16+Premissas!$B$34)/(1-'Taxas 2026'!$C$16-$F$4-$B$4))&lt;'Taxas 2026'!$B$17,MAX('Taxas 2026'!$B$16,(F18+'Taxas 2026'!$D$16+Premissas!$B$34)/(1-'Taxas 2026'!$C$16-$F$4-$B$4)),""))</f>
        <v/>
      </c>
      <c r="U18" s="23" t="str">
        <f aca="false">IF((1-'Taxas 2026'!$C$17-$F$4-$B$4)&lt;=0,"",IF(MAX('Taxas 2026'!$B$17,(F18+'Taxas 2026'!$D$17+Premissas!$B$34)/(1-'Taxas 2026'!$C$17-$F$4-$B$4))&lt;'Taxas 2026'!$B$18,MAX('Taxas 2026'!$B$17,(F18+'Taxas 2026'!$D$17+Premissas!$B$34)/(1-'Taxas 2026'!$C$17-$F$4-$B$4)),""))</f>
        <v/>
      </c>
      <c r="V18" s="23" t="str">
        <f aca="false">IF((1-'Taxas 2026'!$C$18-$F$4-$B$4)&lt;=0,"",IF(MAX('Taxas 2026'!$B$18,(F18+'Taxas 2026'!$D$18+Premissas!$B$34)/(1-'Taxas 2026'!$C$18-$F$4-$B$4))&lt;'Taxas 2026'!$B$19,MAX('Taxas 2026'!$B$18,(F18+'Taxas 2026'!$D$18+Premissas!$B$34)/(1-'Taxas 2026'!$C$18-$F$4-$B$4)),""))</f>
        <v/>
      </c>
      <c r="W18" s="23" t="n">
        <f aca="false">IF((1-'Taxas 2026'!$C$19-$F$4-$B$4)&lt;=0,"",IF(MAX('Taxas 2026'!$B$19,(F18+'Taxas 2026'!$D$19+Premissas!$B$34)/(1-'Taxas 2026'!$C$19-$F$4-$B$4))&lt;1000000000,MAX('Taxas 2026'!$B$19,(F18+'Taxas 2026'!$D$19+Premissas!$B$34)/(1-'Taxas 2026'!$C$19-$F$4-$B$4)),""))</f>
        <v>665.981308411215</v>
      </c>
      <c r="X18" s="43" t="n">
        <f aca="false">MIN(T18:W18)</f>
        <v>665.981308411215</v>
      </c>
      <c r="Y18" s="23" t="n">
        <f aca="false">CEILING(X18-4.9,5)+4.9</f>
        <v>669.9</v>
      </c>
      <c r="Z18" s="46" t="n">
        <f aca="false">((Y18)-(F18+(Y18)*(INDEX('Taxas 2026'!$C$15:$C$19,MATCH((Y18),'Taxas 2026'!$B$15:$B$19,1))+$F$4)+INDEX('Taxas 2026'!$D$15:$D$19,MATCH((Y18),'Taxas 2026'!$B$15:$B$19,1))+Premissas!$B$34))/(Y18)</f>
        <v>0.153129571577847</v>
      </c>
      <c r="AA18" s="43" t="n">
        <f aca="false">IF(((Y18)-(F18+(Y18)*(INDEX('Taxas 2026'!$C$15:$C$19,MATCH((Y18),'Taxas 2026'!$B$15:$B$19,1))+$F$4)+INDEX('Taxas 2026'!$D$15:$D$19,MATCH((Y18),'Taxas 2026'!$B$15:$B$19,1))+Premissas!$B$34))/(Y18)&gt;=$B$4,Y18,IF(((Y18+5)-(F18+(Y18+5)*(INDEX('Taxas 2026'!$C$15:$C$19,MATCH((Y18+5),'Taxas 2026'!$B$15:$B$19,1))+$F$4)+INDEX('Taxas 2026'!$D$15:$D$19,MATCH((Y18+5),'Taxas 2026'!$B$15:$B$19,1))+Premissas!$B$34))/(Y18+5)&gt;=$B$4,Y18+5,Y18+10))</f>
        <v>669.9</v>
      </c>
      <c r="AB18" s="46" t="n">
        <f aca="false">((AA18)-(F18+(AA18)*(INDEX('Taxas 2026'!$C$15:$C$19,MATCH((AA18),'Taxas 2026'!$B$15:$B$19,1))+$F$4)+INDEX('Taxas 2026'!$D$15:$D$19,MATCH((AA18),'Taxas 2026'!$B$15:$B$19,1))+Premissas!$B$34))/(AA18)</f>
        <v>0.153129571577847</v>
      </c>
      <c r="AC18" s="23" t="str">
        <f aca="false">IF((1-'Taxas 2026'!$C$24-$H$4-$B$4)&lt;=0,"",IF(MAX(1,(F18+'Taxas 2026'!$D$24)/(1-'Taxas 2026'!$C$24-$H$4-$B$4))&lt;'Taxas 2026'!$B$25,MAX(1,(F18+'Taxas 2026'!$D$24)/(1-'Taxas 2026'!$C$24-$H$4-$B$4)),""))</f>
        <v/>
      </c>
      <c r="AD18" s="23" t="n">
        <f aca="false">IF((1-'Taxas 2026'!$C$25-$H$4-$B$4)&lt;=0,"",IF(MAX('Taxas 2026'!$B$25,(F18+'Taxas 2026'!$D$25)/(1-'Taxas 2026'!$C$25-$H$4-$B$4))&lt;1000000000,MAX('Taxas 2026'!$B$25,(F18+'Taxas 2026'!$D$25)/(1-'Taxas 2026'!$C$25-$H$4-$B$4)),""))</f>
        <v>773.103448275862</v>
      </c>
      <c r="AE18" s="43" t="n">
        <f aca="false">MIN(AC18:AD18)</f>
        <v>773.103448275862</v>
      </c>
      <c r="AF18" s="23" t="n">
        <f aca="false">CEILING(AE18-4.9,5)+4.9</f>
        <v>774.9</v>
      </c>
      <c r="AG18" s="46" t="n">
        <f aca="false">((AF18)-(F18+(AF18)*(INDEX('Taxas 2026'!$C$24:$C$25,MATCH((AF18),'Taxas 2026'!$B$24:$B$25,1))+$H$4)+INDEX('Taxas 2026'!$D$24:$D$25,MATCH((AF18),'Taxas 2026'!$B$24:$B$25,1))))/(AF18)</f>
        <v>0.15100851722803</v>
      </c>
      <c r="AH18" s="43" t="n">
        <f aca="false">IF(((AF18)-(F18+(AF18)*(INDEX('Taxas 2026'!$C$24:$C$25,MATCH((AF18),'Taxas 2026'!$B$24:$B$25,1))+$H$4)+INDEX('Taxas 2026'!$D$24:$D$25,MATCH((AF18),'Taxas 2026'!$B$24:$B$25,1))))/(AF18)&gt;=$B$4,AF18,IF(((AF18+5)-(F18+(AF18+5)*(INDEX('Taxas 2026'!$C$24:$C$25,MATCH((AF18+5),'Taxas 2026'!$B$24:$B$25,1))+$H$4)+INDEX('Taxas 2026'!$D$24:$D$25,MATCH((AF18+5),'Taxas 2026'!$B$24:$B$25,1))))/(AF18+5)&gt;=$B$4,AF18+5,AF18+10))</f>
        <v>774.9</v>
      </c>
      <c r="AI18" s="46" t="n">
        <f aca="false">((AH18)-(F18+(AH18)*(INDEX('Taxas 2026'!$C$24:$C$25,MATCH((AH18),'Taxas 2026'!$B$24:$B$25,1))+$H$4)+INDEX('Taxas 2026'!$D$24:$D$25,MATCH((AH18),'Taxas 2026'!$B$24:$B$25,1))))/(AH18)</f>
        <v>0.15100851722803</v>
      </c>
      <c r="AJ18" s="43" t="n">
        <f aca="false">MAX(1,(F18+Premissas!$B$45+Premissas!$B$48+INDEX('Frete 2026'!$H$6:$H$11,H18))/(1-$J$4-$B$4))</f>
        <v>971.738545682776</v>
      </c>
      <c r="AK18" s="23" t="n">
        <f aca="false">CEILING(AJ18-4.9,5)+4.9</f>
        <v>974.9</v>
      </c>
      <c r="AL18" s="46" t="n">
        <f aca="false">((AK18)-(F18+Premissas!$B$45+Premissas!$B$48+INDEX('Frete 2026'!$H$6:$H$11,H18)+(AK18)*$J$4))/(AK18)</f>
        <v>0.151205583478647</v>
      </c>
      <c r="AM18" s="43" t="n">
        <f aca="false">IF(((AK18)-(F18+Premissas!$B$45+Premissas!$B$48+INDEX('Frete 2026'!$H$6:$H$11,H18)+(AK18)*$J$4))/(AK18)&gt;=$B$4,AK18,IF(((AK18+5)-(F18+Premissas!$B$45+Premissas!$B$48+INDEX('Frete 2026'!$H$6:$H$11,H18)+(AK18+5)*$J$4))/(AK18+5)&gt;=$B$4,AK18+5,AK18+10))</f>
        <v>974.9</v>
      </c>
      <c r="AN18" s="46" t="n">
        <f aca="false">((AM18)-(F18+Premissas!$B$45+Premissas!$B$48+INDEX('Frete 2026'!$H$6:$H$11,H18)+(AM18)*$J$4))/(AM18)</f>
        <v>0.151205583478647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customFormat="false" ht="57.75" hidden="false" customHeight="true" outlineLevel="0" collapsed="false">
      <c r="A20" s="38" t="s">
        <v>291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</sheetData>
  <mergeCells count="1">
    <mergeCell ref="A20:N20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Kits de camisetas · Rev. 02 · Blumenau, outubro de 2026&amp;R&amp;8 &amp;A · 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1" min="10" style="0" width="11"/>
    <col collapsed="false" customWidth="true" hidden="false" outlineLevel="0" max="12" min="12" style="0" width="9"/>
    <col collapsed="false" customWidth="true" hidden="false" outlineLevel="0" max="14" min="13" style="0" width="11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9"/>
  </cols>
  <sheetData>
    <row r="1" customFormat="false" ht="17.35" hidden="false" customHeight="false" outlineLevel="0" collapsed="false">
      <c r="A1" s="1" t="s">
        <v>292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3" t="s">
        <v>293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43.5" hidden="false" customHeight="true" outlineLevel="0" collapsed="false">
      <c r="A4" s="31" t="s">
        <v>294</v>
      </c>
      <c r="B4" s="32" t="s">
        <v>210</v>
      </c>
      <c r="C4" s="32" t="s">
        <v>245</v>
      </c>
      <c r="D4" s="32" t="s">
        <v>212</v>
      </c>
      <c r="E4" s="32" t="s">
        <v>213</v>
      </c>
      <c r="F4" s="32" t="s">
        <v>251</v>
      </c>
      <c r="G4" s="32" t="s">
        <v>295</v>
      </c>
      <c r="H4" s="32" t="s">
        <v>296</v>
      </c>
      <c r="I4" s="32" t="s">
        <v>297</v>
      </c>
      <c r="J4" s="32" t="s">
        <v>298</v>
      </c>
      <c r="K4" s="32" t="s">
        <v>299</v>
      </c>
      <c r="L4" s="32" t="s">
        <v>300</v>
      </c>
      <c r="M4" s="32" t="s">
        <v>301</v>
      </c>
      <c r="N4" s="32" t="s">
        <v>302</v>
      </c>
      <c r="O4" s="32" t="s">
        <v>303</v>
      </c>
      <c r="P4" s="32" t="s">
        <v>304</v>
      </c>
      <c r="Q4" s="32" t="s">
        <v>305</v>
      </c>
      <c r="R4" s="32" t="s">
        <v>306</v>
      </c>
    </row>
    <row r="5" customFormat="false" ht="15" hidden="false" customHeight="false" outlineLevel="0" collapsed="false">
      <c r="A5" s="6" t="s">
        <v>307</v>
      </c>
      <c r="B5" s="52" t="s">
        <v>56</v>
      </c>
      <c r="C5" s="58" t="n">
        <v>1</v>
      </c>
      <c r="D5" s="17" t="n">
        <f aca="false">INDEX('Ficha de Custo'!$B$30:$D$33,MATCH(C5,'Ficha de Custo'!$A$30:$A$33,0),MATCH(B5,'Ficha de Custo'!$B$4:$D$4,0))</f>
        <v>22.02</v>
      </c>
      <c r="E5" s="49" t="n">
        <f aca="false">INDEX('Ficha de Custo'!$B$36:$D$39,MATCH(C5,'Ficha de Custo'!$A$36:$A$39,0),MATCH(B5,'Ficha de Custo'!$B$4:$D$4,0))</f>
        <v>0.23</v>
      </c>
      <c r="F5" s="20" t="n">
        <f aca="false">MATCH(E5-0.0000001,'Frete 2026'!$A$6:$A$11,1)</f>
        <v>1</v>
      </c>
      <c r="G5" s="29" t="n">
        <v>54.9</v>
      </c>
      <c r="H5" s="23" t="n">
        <f aca="false">IF(ISNUMBER(G5),G5-(D5+IF(G5&lt;79,INDEX('Frete 2026'!$B$6:$B$11,F5),INDEX('Frete 2026'!$C$6:$G$11,F5,MATCH(G5,'Frete 2026'!$C$5:$G$5,1)))+G5*'Kits calculo'!$D$4),"")</f>
        <v>10.1845</v>
      </c>
      <c r="I5" s="59" t="n">
        <f aca="false">IF(ISNUMBER(G5),H5/G5,"")</f>
        <v>0.185510018214936</v>
      </c>
      <c r="J5" s="29" t="n">
        <v>54.9</v>
      </c>
      <c r="K5" s="23" t="n">
        <f aca="false">IF(ISNUMBER(J5),J5-(D5+J5*(INDEX('Taxas 2026'!$C$15:$C$19,MATCH(J5,'Taxas 2026'!$B$15:$B$19,1))+'Kits calculo'!$F$4)+INDEX('Taxas 2026'!$D$15:$D$19,MATCH(J5,'Taxas 2026'!$B$15:$B$19,1))+Premissas!$B$34),"")</f>
        <v>8.2925</v>
      </c>
      <c r="L5" s="59" t="n">
        <f aca="false">IF(ISNUMBER(J5),K5/J5,"")</f>
        <v>0.151047358834244</v>
      </c>
      <c r="M5" s="29" t="n">
        <v>64.9</v>
      </c>
      <c r="N5" s="23" t="n">
        <f aca="false">IF(ISNUMBER(M5),M5-(D5+M5*(INDEX('Taxas 2026'!$C$24:$C$25,MATCH(M5,'Taxas 2026'!$B$24:$B$25,1))+'Kits calculo'!$H$4)+INDEX('Taxas 2026'!$D$24:$D$25,MATCH(M5,'Taxas 2026'!$B$24:$B$25,1))),"")</f>
        <v>9.9465</v>
      </c>
      <c r="O5" s="59" t="n">
        <f aca="false">IF(ISNUMBER(M5),N5/M5,"")</f>
        <v>0.153258859784284</v>
      </c>
      <c r="P5" s="29" t="n">
        <v>59.9</v>
      </c>
      <c r="Q5" s="23" t="n">
        <f aca="false">IF(ISNUMBER(P5),P5-(D5+Premissas!$B$45+Premissas!$B$48+INDEX('Frete 2026'!$H$6:$H$11,F5)+P5*'Kits calculo'!$L$4),"")</f>
        <v>11.24049</v>
      </c>
      <c r="R5" s="59" t="n">
        <f aca="false">IF(ISNUMBER(P5),Q5/P5,"")</f>
        <v>0.187654257095159</v>
      </c>
    </row>
    <row r="6" customFormat="false" ht="15" hidden="false" customHeight="false" outlineLevel="0" collapsed="false">
      <c r="A6" s="6" t="s">
        <v>308</v>
      </c>
      <c r="B6" s="52" t="s">
        <v>56</v>
      </c>
      <c r="C6" s="58" t="n">
        <v>3</v>
      </c>
      <c r="D6" s="17" t="n">
        <f aca="false">INDEX('Ficha de Custo'!$B$30:$D$33,MATCH(C6,'Ficha de Custo'!$A$30:$A$33,0),MATCH(B6,'Ficha de Custo'!$B$4:$D$4,0))</f>
        <v>66.06</v>
      </c>
      <c r="E6" s="49" t="n">
        <f aca="false">INDEX('Ficha de Custo'!$B$36:$D$39,MATCH(C6,'Ficha de Custo'!$A$36:$A$39,0),MATCH(B6,'Ficha de Custo'!$B$4:$D$4,0))</f>
        <v>0.68</v>
      </c>
      <c r="F6" s="20" t="n">
        <f aca="false">MATCH(E6-0.0000001,'Frete 2026'!$A$6:$A$11,1)</f>
        <v>3</v>
      </c>
      <c r="G6" s="29" t="n">
        <v>169.9</v>
      </c>
      <c r="H6" s="23" t="n">
        <f aca="false">IF(ISNUMBER(G6),G6-(D6+IF(G6&lt;79,INDEX('Frete 2026'!$B$6:$B$11,F6),INDEX('Frete 2026'!$C$6:$G$11,F6,MATCH(G6,'Frete 2026'!$C$5:$G$5,1)))+G6*'Kits calculo'!$D$4),"")</f>
        <v>33.7195</v>
      </c>
      <c r="I6" s="59" t="n">
        <f aca="false">IF(ISNUMBER(G6),H6/G6,"")</f>
        <v>0.198466745144203</v>
      </c>
      <c r="J6" s="29" t="n">
        <v>169.9</v>
      </c>
      <c r="K6" s="23" t="n">
        <f aca="false">IF(ISNUMBER(J6),J6-(D6+J6*(INDEX('Taxas 2026'!$C$15:$C$19,MATCH(J6,'Taxas 2026'!$B$15:$B$19,1))+'Kits calculo'!$F$4)+INDEX('Taxas 2026'!$D$15:$D$19,MATCH(J6,'Taxas 2026'!$B$15:$B$19,1))+Premissas!$B$34),"")</f>
        <v>30.3215</v>
      </c>
      <c r="L6" s="59" t="n">
        <f aca="false">IF(ISNUMBER(J6),K6/J6,"")</f>
        <v>0.178466745144202</v>
      </c>
      <c r="M6" s="29" t="n">
        <v>169.9</v>
      </c>
      <c r="N6" s="23" t="n">
        <f aca="false">IF(ISNUMBER(M6),M6-(D6+M6*(INDEX('Taxas 2026'!$C$24:$C$25,MATCH(M6,'Taxas 2026'!$B$24:$B$25,1))+'Kits calculo'!$H$4)+INDEX('Taxas 2026'!$D$24:$D$25,MATCH(M6,'Taxas 2026'!$B$24:$B$25,1))),"")</f>
        <v>27.3315</v>
      </c>
      <c r="O6" s="59" t="n">
        <f aca="false">IF(ISNUMBER(M6),N6/M6,"")</f>
        <v>0.160868157739847</v>
      </c>
      <c r="P6" s="29" t="n">
        <v>169.9</v>
      </c>
      <c r="Q6" s="23" t="n">
        <f aca="false">IF(ISNUMBER(P6),P6-(D6+Premissas!$B$45+Premissas!$B$48+INDEX('Frete 2026'!$H$6:$H$11,F6)+P6*'Kits calculo'!$L$4),"")</f>
        <v>58.26149</v>
      </c>
      <c r="R6" s="59" t="n">
        <f aca="false">IF(ISNUMBER(P6),Q6/P6,"")</f>
        <v>0.342916362566215</v>
      </c>
    </row>
    <row r="7" customFormat="false" ht="15" hidden="false" customHeight="false" outlineLevel="0" collapsed="false">
      <c r="A7" s="6" t="s">
        <v>309</v>
      </c>
      <c r="B7" s="52" t="s">
        <v>122</v>
      </c>
      <c r="C7" s="58" t="n">
        <v>1</v>
      </c>
      <c r="D7" s="17" t="n">
        <f aca="false">INDEX('Ficha de Custo'!$B$30:$D$33,MATCH(C7,'Ficha de Custo'!$A$30:$A$33,0),MATCH(B7,'Ficha de Custo'!$B$4:$D$4,0))</f>
        <v>34.73</v>
      </c>
      <c r="E7" s="49" t="n">
        <f aca="false">INDEX('Ficha de Custo'!$B$36:$D$39,MATCH(C7,'Ficha de Custo'!$A$36:$A$39,0),MATCH(B7,'Ficha de Custo'!$B$4:$D$4,0))</f>
        <v>0.22</v>
      </c>
      <c r="F7" s="20" t="n">
        <f aca="false">MATCH(E7-0.0000001,'Frete 2026'!$A$6:$A$11,1)</f>
        <v>1</v>
      </c>
      <c r="G7" s="29" t="n">
        <v>119.9</v>
      </c>
      <c r="H7" s="23" t="n">
        <f aca="false">IF(ISNUMBER(G7),G7-(D7+IF(G7&lt;79,INDEX('Frete 2026'!$B$6:$B$11,F7),INDEX('Frete 2026'!$C$6:$G$11,F7,MATCH(G7,'Frete 2026'!$C$5:$G$5,1)))+G7*'Kits calculo'!$D$4),"")</f>
        <v>35.2995</v>
      </c>
      <c r="I7" s="59" t="n">
        <f aca="false">IF(ISNUMBER(G7),H7/G7,"")</f>
        <v>0.294407839866556</v>
      </c>
      <c r="J7" s="29" t="n">
        <v>119.9</v>
      </c>
      <c r="K7" s="23" t="n">
        <f aca="false">IF(ISNUMBER(J7),J7-(D7+J7*(INDEX('Taxas 2026'!$C$15:$C$19,MATCH(J7,'Taxas 2026'!$B$15:$B$19,1))+'Kits calculo'!$F$4)+INDEX('Taxas 2026'!$D$15:$D$19,MATCH(J7,'Taxas 2026'!$B$15:$B$19,1))+Premissas!$B$34),"")</f>
        <v>27.4015</v>
      </c>
      <c r="L7" s="59" t="n">
        <f aca="false">IF(ISNUMBER(J7),K7/J7,"")</f>
        <v>0.228536280233528</v>
      </c>
      <c r="M7" s="29" t="n">
        <v>119.9</v>
      </c>
      <c r="N7" s="23" t="n">
        <f aca="false">IF(ISNUMBER(M7),M7-(D7+M7*(INDEX('Taxas 2026'!$C$24:$C$25,MATCH(M7,'Taxas 2026'!$B$24:$B$25,1))+'Kits calculo'!$H$4)+INDEX('Taxas 2026'!$D$24:$D$25,MATCH(M7,'Taxas 2026'!$B$24:$B$25,1))),"")</f>
        <v>29.4115</v>
      </c>
      <c r="O7" s="59" t="n">
        <f aca="false">IF(ISNUMBER(M7),N7/M7,"")</f>
        <v>0.245300250208507</v>
      </c>
      <c r="P7" s="29" t="n">
        <v>119.9</v>
      </c>
      <c r="Q7" s="23" t="n">
        <f aca="false">IF(ISNUMBER(P7),P7-(D7+Premissas!$B$45+Premissas!$B$48+INDEX('Frete 2026'!$H$6:$H$11,F7)+P7*'Kits calculo'!$L$4),"")</f>
        <v>49.83649</v>
      </c>
      <c r="R7" s="59" t="n">
        <f aca="false">IF(ISNUMBER(P7),Q7/P7,"")</f>
        <v>0.415650458715596</v>
      </c>
    </row>
    <row r="8" customFormat="false" ht="15" hidden="false" customHeight="false" outlineLevel="0" collapsed="false">
      <c r="A8" s="6" t="s">
        <v>310</v>
      </c>
      <c r="B8" s="52" t="s">
        <v>122</v>
      </c>
      <c r="C8" s="58" t="n">
        <v>3</v>
      </c>
      <c r="D8" s="17" t="n">
        <f aca="false">INDEX('Ficha de Custo'!$B$30:$D$33,MATCH(C8,'Ficha de Custo'!$A$30:$A$33,0),MATCH(B8,'Ficha de Custo'!$B$4:$D$4,0))</f>
        <v>102.49</v>
      </c>
      <c r="E8" s="49" t="n">
        <f aca="false">INDEX('Ficha de Custo'!$B$36:$D$39,MATCH(C8,'Ficha de Custo'!$A$36:$A$39,0),MATCH(B8,'Ficha de Custo'!$B$4:$D$4,0))</f>
        <v>0.65</v>
      </c>
      <c r="F8" s="20" t="n">
        <f aca="false">MATCH(E8-0.0000001,'Frete 2026'!$A$6:$A$11,1)</f>
        <v>3</v>
      </c>
      <c r="G8" s="29" t="n">
        <v>249.9</v>
      </c>
      <c r="H8" s="23" t="n">
        <f aca="false">IF(ISNUMBER(G8),G8-(D8+IF(G8&lt;79,INDEX('Frete 2026'!$B$6:$B$11,F8),INDEX('Frete 2026'!$C$6:$G$11,F8,MATCH(G8,'Frete 2026'!$C$5:$G$5,1)))+G8*'Kits calculo'!$D$4),"")</f>
        <v>51.5395</v>
      </c>
      <c r="I8" s="59" t="n">
        <f aca="false">IF(ISNUMBER(G8),H8/G8,"")</f>
        <v>0.206240496198479</v>
      </c>
      <c r="J8" s="29" t="n">
        <v>249.9</v>
      </c>
      <c r="K8" s="23" t="n">
        <f aca="false">IF(ISNUMBER(J8),J8-(D8+J8*(INDEX('Taxas 2026'!$C$15:$C$19,MATCH(J8,'Taxas 2026'!$B$15:$B$19,1))+'Kits calculo'!$F$4)+INDEX('Taxas 2026'!$D$15:$D$19,MATCH(J8,'Taxas 2026'!$B$15:$B$19,1))+Premissas!$B$34),"")</f>
        <v>42.6915</v>
      </c>
      <c r="L8" s="59" t="n">
        <f aca="false">IF(ISNUMBER(J8),K8/J8,"")</f>
        <v>0.170834333733493</v>
      </c>
      <c r="M8" s="29" t="n">
        <v>249.9</v>
      </c>
      <c r="N8" s="23" t="n">
        <f aca="false">IF(ISNUMBER(M8),M8-(D8+M8*(INDEX('Taxas 2026'!$C$24:$C$25,MATCH(M8,'Taxas 2026'!$B$24:$B$25,1))+'Kits calculo'!$H$4)+INDEX('Taxas 2026'!$D$24:$D$25,MATCH(M8,'Taxas 2026'!$B$24:$B$25,1))),"")</f>
        <v>37.7015</v>
      </c>
      <c r="O8" s="59" t="n">
        <f aca="false">IF(ISNUMBER(M8),N8/M8,"")</f>
        <v>0.150866346538615</v>
      </c>
      <c r="P8" s="29" t="n">
        <v>249.9</v>
      </c>
      <c r="Q8" s="23" t="n">
        <f aca="false">IF(ISNUMBER(P8),P8-(D8+Premissas!$B$45+Premissas!$B$48+INDEX('Frete 2026'!$H$6:$H$11,F8)+P8*'Kits calculo'!$L$4),"")</f>
        <v>90.23949</v>
      </c>
      <c r="R8" s="59" t="n">
        <f aca="false">IF(ISNUMBER(P8),Q8/P8,"")</f>
        <v>0.361102400960384</v>
      </c>
    </row>
    <row r="9" customFormat="false" ht="15" hidden="false" customHeight="false" outlineLevel="0" collapsed="false">
      <c r="A9" s="6" t="s">
        <v>311</v>
      </c>
      <c r="B9" s="52" t="s">
        <v>56</v>
      </c>
      <c r="C9" s="58" t="n">
        <v>5</v>
      </c>
      <c r="D9" s="17" t="n">
        <f aca="false">INDEX('Ficha de Custo'!$B$30:$D$33,MATCH(C9,'Ficha de Custo'!$A$30:$A$33,0),MATCH(B9,'Ficha de Custo'!$B$4:$D$4,0))</f>
        <v>108.1</v>
      </c>
      <c r="E9" s="49" t="n">
        <f aca="false">INDEX('Ficha de Custo'!$B$36:$D$39,MATCH(C9,'Ficha de Custo'!$A$36:$A$39,0),MATCH(B9,'Ficha de Custo'!$B$4:$D$4,0))</f>
        <v>1.1</v>
      </c>
      <c r="F9" s="20" t="n">
        <f aca="false">MATCH(E9-0.0000001,'Frete 2026'!$A$6:$A$11,1)</f>
        <v>4</v>
      </c>
      <c r="G9" s="28"/>
      <c r="H9" s="23" t="str">
        <f aca="false">IF(ISNUMBER(G9),G9-(D9+IF(G9&lt;79,INDEX('Frete 2026'!$B$6:$B$11,F9),INDEX('Frete 2026'!$C$6:$G$11,F9,MATCH(G9,'Frete 2026'!$C$5:$G$5,1)))+G9*'Kits calculo'!$D$4),"")</f>
        <v/>
      </c>
      <c r="I9" s="59" t="str">
        <f aca="false">IF(ISNUMBER(G9),H9/G9,"")</f>
        <v/>
      </c>
      <c r="J9" s="28"/>
      <c r="K9" s="23" t="str">
        <f aca="false">IF(ISNUMBER(J9),J9-(D9+J9*(INDEX('Taxas 2026'!$C$15:$C$19,MATCH(J9,'Taxas 2026'!$B$15:$B$19,1))+'Kits calculo'!$F$4)+INDEX('Taxas 2026'!$D$15:$D$19,MATCH(J9,'Taxas 2026'!$B$15:$B$19,1))+Premissas!$B$34),"")</f>
        <v/>
      </c>
      <c r="L9" s="59" t="str">
        <f aca="false">IF(ISNUMBER(J9),K9/J9,"")</f>
        <v/>
      </c>
      <c r="M9" s="28"/>
      <c r="N9" s="23" t="str">
        <f aca="false">IF(ISNUMBER(M9),M9-(D9+M9*(INDEX('Taxas 2026'!$C$24:$C$25,MATCH(M9,'Taxas 2026'!$B$24:$B$25,1))+'Kits calculo'!$H$4)+INDEX('Taxas 2026'!$D$24:$D$25,MATCH(M9,'Taxas 2026'!$B$24:$B$25,1))),"")</f>
        <v/>
      </c>
      <c r="O9" s="59" t="str">
        <f aca="false">IF(ISNUMBER(M9),N9/M9,"")</f>
        <v/>
      </c>
      <c r="P9" s="29" t="n">
        <v>199.9</v>
      </c>
      <c r="Q9" s="23" t="n">
        <f aca="false">IF(ISNUMBER(P9),P9-(D9+Premissas!$B$45+Premissas!$B$48+INDEX('Frete 2026'!$H$6:$H$11,F9)+P9*'Kits calculo'!$L$4),"")</f>
        <v>38.87449</v>
      </c>
      <c r="R9" s="59" t="n">
        <f aca="false">IF(ISNUMBER(P9),Q9/P9,"")</f>
        <v>0.194469684842421</v>
      </c>
    </row>
    <row r="10" customFormat="false" ht="15" hidden="false" customHeight="false" outlineLevel="0" collapsed="false">
      <c r="A10" s="6" t="s">
        <v>312</v>
      </c>
      <c r="B10" s="52" t="s">
        <v>56</v>
      </c>
      <c r="C10" s="58" t="n">
        <v>10</v>
      </c>
      <c r="D10" s="17" t="n">
        <f aca="false">INDEX('Ficha de Custo'!$B$30:$D$33,MATCH(C10,'Ficha de Custo'!$A$30:$A$33,0),MATCH(B10,'Ficha de Custo'!$B$4:$D$4,0))</f>
        <v>212.7</v>
      </c>
      <c r="E10" s="49" t="n">
        <f aca="false">INDEX('Ficha de Custo'!$B$36:$D$39,MATCH(C10,'Ficha de Custo'!$A$36:$A$39,0),MATCH(B10,'Ficha de Custo'!$B$4:$D$4,0))</f>
        <v>2.14</v>
      </c>
      <c r="F10" s="20" t="n">
        <f aca="false">MATCH(E10-0.0000001,'Frete 2026'!$A$6:$A$11,1)</f>
        <v>6</v>
      </c>
      <c r="G10" s="28"/>
      <c r="H10" s="23" t="str">
        <f aca="false">IF(ISNUMBER(G10),G10-(D10+IF(G10&lt;79,INDEX('Frete 2026'!$B$6:$B$11,F10),INDEX('Frete 2026'!$C$6:$G$11,F10,MATCH(G10,'Frete 2026'!$C$5:$G$5,1)))+G10*'Kits calculo'!$D$4),"")</f>
        <v/>
      </c>
      <c r="I10" s="59" t="str">
        <f aca="false">IF(ISNUMBER(G10),H10/G10,"")</f>
        <v/>
      </c>
      <c r="J10" s="28"/>
      <c r="K10" s="23" t="str">
        <f aca="false">IF(ISNUMBER(J10),J10-(D10+J10*(INDEX('Taxas 2026'!$C$15:$C$19,MATCH(J10,'Taxas 2026'!$B$15:$B$19,1))+'Kits calculo'!$F$4)+INDEX('Taxas 2026'!$D$15:$D$19,MATCH(J10,'Taxas 2026'!$B$15:$B$19,1))+Premissas!$B$34),"")</f>
        <v/>
      </c>
      <c r="L10" s="59" t="str">
        <f aca="false">IF(ISNUMBER(J10),K10/J10,"")</f>
        <v/>
      </c>
      <c r="M10" s="28"/>
      <c r="N10" s="23" t="str">
        <f aca="false">IF(ISNUMBER(M10),M10-(D10+M10*(INDEX('Taxas 2026'!$C$24:$C$25,MATCH(M10,'Taxas 2026'!$B$24:$B$25,1))+'Kits calculo'!$H$4)+INDEX('Taxas 2026'!$D$24:$D$25,MATCH(M10,'Taxas 2026'!$B$24:$B$25,1))),"")</f>
        <v/>
      </c>
      <c r="O10" s="59" t="str">
        <f aca="false">IF(ISNUMBER(M10),N10/M10,"")</f>
        <v/>
      </c>
      <c r="P10" s="29" t="n">
        <v>369.9</v>
      </c>
      <c r="Q10" s="23" t="n">
        <f aca="false">IF(ISNUMBER(P10),P10-(D10+Premissas!$B$45+Premissas!$B$48+INDEX('Frete 2026'!$H$6:$H$11,F10)+P10*'Kits calculo'!$L$4),"")</f>
        <v>72.64149</v>
      </c>
      <c r="R10" s="59" t="n">
        <f aca="false">IF(ISNUMBER(P10),Q10/P10,"")</f>
        <v>0.196381427412814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customFormat="false" ht="15" hidden="false" customHeight="false" outlineLevel="0" collapsed="false">
      <c r="A12" s="6" t="s">
        <v>313</v>
      </c>
      <c r="B12" s="60" t="n">
        <f aca="false">COUNTIF(I5:I10,"&lt;"&amp;Premissas!$B$18)+COUNTIF(L5:L10,"&lt;"&amp;Premissas!$B$18)+COUNTIF(O5:O10,"&lt;"&amp;Premissas!$B$18)+COUNTIF(R5:R10,"&lt;"&amp;Premissas!$B$18)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customFormat="false" ht="30" hidden="false" customHeight="true" outlineLevel="0" collapsed="false">
      <c r="A13" s="38" t="s">
        <v>314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</row>
  </sheetData>
  <mergeCells count="1">
    <mergeCell ref="A13:R13"/>
  </mergeCells>
  <conditionalFormatting sqref="I5:I10">
    <cfRule type="cellIs" priority="2" operator="lessThan" aboveAverage="0" equalAverage="0" bottom="0" percent="0" rank="0" text="" dxfId="0">
      <formula>Premissas!$B$18</formula>
    </cfRule>
  </conditionalFormatting>
  <conditionalFormatting sqref="L5:L10">
    <cfRule type="cellIs" priority="3" operator="lessThan" aboveAverage="0" equalAverage="0" bottom="0" percent="0" rank="0" text="" dxfId="0">
      <formula>Premissas!$B$18</formula>
    </cfRule>
  </conditionalFormatting>
  <conditionalFormatting sqref="O5:O10">
    <cfRule type="cellIs" priority="4" operator="lessThan" aboveAverage="0" equalAverage="0" bottom="0" percent="0" rank="0" text="" dxfId="0">
      <formula>Premissas!$B$18</formula>
    </cfRule>
  </conditionalFormatting>
  <conditionalFormatting sqref="R5:R10">
    <cfRule type="cellIs" priority="5" operator="lessThan" aboveAverage="0" equalAverage="0" bottom="0" percent="0" rank="0" text="" dxfId="0">
      <formula>Premissas!$B$18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Kits de camisetas · Rev. 02 · Blumenau, outubro de 2026&amp;R&amp;8 &amp;A · 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8" min="7" style="0" width="12"/>
    <col collapsed="false" customWidth="true" hidden="false" outlineLevel="0" max="9" min="9" style="0" width="38"/>
    <col collapsed="false" customWidth="true" hidden="false" outlineLevel="0" max="10" min="10" style="0" width="28"/>
  </cols>
  <sheetData>
    <row r="1" customFormat="false" ht="17.35" hidden="false" customHeight="false" outlineLevel="0" collapsed="false">
      <c r="A1" s="1" t="s">
        <v>315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316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0" hidden="false" customHeight="true" outlineLevel="0" collapsed="false">
      <c r="A4" s="31" t="s">
        <v>317</v>
      </c>
      <c r="B4" s="32" t="s">
        <v>245</v>
      </c>
      <c r="C4" s="32" t="s">
        <v>318</v>
      </c>
      <c r="D4" s="32" t="s">
        <v>294</v>
      </c>
      <c r="E4" s="32" t="s">
        <v>319</v>
      </c>
      <c r="F4" s="32" t="s">
        <v>320</v>
      </c>
      <c r="G4" s="32" t="s">
        <v>321</v>
      </c>
      <c r="H4" s="32" t="s">
        <v>322</v>
      </c>
      <c r="I4" s="32" t="s">
        <v>323</v>
      </c>
      <c r="J4" s="32" t="s">
        <v>324</v>
      </c>
    </row>
    <row r="5" customFormat="false" ht="15" hidden="false" customHeight="false" outlineLevel="0" collapsed="false">
      <c r="A5" s="61" t="n">
        <v>1</v>
      </c>
      <c r="B5" s="57" t="n">
        <v>1</v>
      </c>
      <c r="C5" s="10" t="s">
        <v>325</v>
      </c>
      <c r="D5" s="10" t="s">
        <v>326</v>
      </c>
      <c r="E5" s="10" t="s">
        <v>181</v>
      </c>
      <c r="F5" s="10" t="s">
        <v>327</v>
      </c>
      <c r="G5" s="62" t="n">
        <v>14.9</v>
      </c>
      <c r="H5" s="23" t="n">
        <f aca="false">G5/B5</f>
        <v>14.9</v>
      </c>
      <c r="I5" s="10" t="s">
        <v>328</v>
      </c>
      <c r="J5" s="10" t="s">
        <v>329</v>
      </c>
    </row>
    <row r="6" customFormat="false" ht="15" hidden="false" customHeight="false" outlineLevel="0" collapsed="false">
      <c r="A6" s="61" t="n">
        <v>1</v>
      </c>
      <c r="B6" s="57" t="n">
        <v>1</v>
      </c>
      <c r="C6" s="10" t="s">
        <v>325</v>
      </c>
      <c r="D6" s="10" t="s">
        <v>330</v>
      </c>
      <c r="E6" s="10" t="s">
        <v>181</v>
      </c>
      <c r="F6" s="10" t="s">
        <v>331</v>
      </c>
      <c r="G6" s="62" t="n">
        <v>29.9</v>
      </c>
      <c r="H6" s="23" t="n">
        <f aca="false">G6/B6</f>
        <v>29.9</v>
      </c>
      <c r="I6" s="10" t="s">
        <v>332</v>
      </c>
      <c r="J6" s="10" t="s">
        <v>333</v>
      </c>
    </row>
    <row r="7" customFormat="false" ht="15" hidden="false" customHeight="false" outlineLevel="0" collapsed="false">
      <c r="A7" s="61" t="n">
        <v>1</v>
      </c>
      <c r="B7" s="57" t="n">
        <v>1</v>
      </c>
      <c r="C7" s="10" t="s">
        <v>325</v>
      </c>
      <c r="D7" s="10" t="s">
        <v>334</v>
      </c>
      <c r="E7" s="10" t="s">
        <v>178</v>
      </c>
      <c r="F7" s="10" t="s">
        <v>335</v>
      </c>
      <c r="G7" s="62" t="n">
        <v>33.55</v>
      </c>
      <c r="H7" s="23" t="n">
        <f aca="false">G7/B7</f>
        <v>33.55</v>
      </c>
      <c r="I7" s="10" t="s">
        <v>336</v>
      </c>
      <c r="J7" s="10" t="s">
        <v>178</v>
      </c>
    </row>
    <row r="8" customFormat="false" ht="15" hidden="false" customHeight="false" outlineLevel="0" collapsed="false">
      <c r="A8" s="61" t="n">
        <v>1</v>
      </c>
      <c r="B8" s="57" t="n">
        <v>1</v>
      </c>
      <c r="C8" s="10" t="s">
        <v>325</v>
      </c>
      <c r="D8" s="10" t="s">
        <v>337</v>
      </c>
      <c r="E8" s="10" t="s">
        <v>178</v>
      </c>
      <c r="F8" s="10" t="s">
        <v>338</v>
      </c>
      <c r="G8" s="62" t="n">
        <v>39.92</v>
      </c>
      <c r="H8" s="23" t="n">
        <f aca="false">G8/B8</f>
        <v>39.92</v>
      </c>
      <c r="I8" s="10" t="s">
        <v>339</v>
      </c>
      <c r="J8" s="10" t="s">
        <v>178</v>
      </c>
    </row>
    <row r="9" customFormat="false" ht="15" hidden="false" customHeight="false" outlineLevel="0" collapsed="false">
      <c r="A9" s="61" t="n">
        <v>1</v>
      </c>
      <c r="B9" s="57" t="n">
        <v>1</v>
      </c>
      <c r="C9" s="10" t="s">
        <v>340</v>
      </c>
      <c r="D9" s="10" t="s">
        <v>341</v>
      </c>
      <c r="E9" s="10" t="s">
        <v>342</v>
      </c>
      <c r="F9" s="10" t="s">
        <v>343</v>
      </c>
      <c r="G9" s="62" t="n">
        <v>44.87</v>
      </c>
      <c r="H9" s="23" t="n">
        <f aca="false">G9/B9</f>
        <v>44.87</v>
      </c>
      <c r="I9" s="10" t="s">
        <v>344</v>
      </c>
      <c r="J9" s="10" t="s">
        <v>342</v>
      </c>
    </row>
    <row r="10" customFormat="false" ht="15" hidden="false" customHeight="false" outlineLevel="0" collapsed="false">
      <c r="A10" s="61" t="n">
        <v>1</v>
      </c>
      <c r="B10" s="57" t="n">
        <v>1</v>
      </c>
      <c r="C10" s="10" t="s">
        <v>340</v>
      </c>
      <c r="D10" s="10" t="s">
        <v>345</v>
      </c>
      <c r="E10" s="10" t="s">
        <v>346</v>
      </c>
      <c r="F10" s="10" t="s">
        <v>347</v>
      </c>
      <c r="G10" s="62" t="n">
        <v>49.99</v>
      </c>
      <c r="H10" s="23" t="n">
        <f aca="false">G10/B10</f>
        <v>49.99</v>
      </c>
      <c r="I10" s="10" t="s">
        <v>348</v>
      </c>
      <c r="J10" s="10" t="s">
        <v>349</v>
      </c>
    </row>
    <row r="11" customFormat="false" ht="15" hidden="false" customHeight="false" outlineLevel="0" collapsed="false">
      <c r="A11" s="61" t="n">
        <v>1</v>
      </c>
      <c r="B11" s="57" t="n">
        <v>1</v>
      </c>
      <c r="C11" s="10" t="s">
        <v>350</v>
      </c>
      <c r="D11" s="10" t="s">
        <v>351</v>
      </c>
      <c r="E11" s="10" t="s">
        <v>181</v>
      </c>
      <c r="F11" s="10" t="s">
        <v>352</v>
      </c>
      <c r="G11" s="62" t="n">
        <v>76.73</v>
      </c>
      <c r="H11" s="23" t="n">
        <f aca="false">G11/B11</f>
        <v>76.73</v>
      </c>
      <c r="I11" s="10" t="s">
        <v>353</v>
      </c>
      <c r="J11" s="10" t="s">
        <v>354</v>
      </c>
    </row>
    <row r="12" customFormat="false" ht="15" hidden="false" customHeight="false" outlineLevel="0" collapsed="false">
      <c r="A12" s="61" t="n">
        <v>1</v>
      </c>
      <c r="B12" s="57" t="n">
        <v>1</v>
      </c>
      <c r="C12" s="10" t="s">
        <v>350</v>
      </c>
      <c r="D12" s="10" t="s">
        <v>355</v>
      </c>
      <c r="E12" s="10" t="s">
        <v>181</v>
      </c>
      <c r="F12" s="10" t="s">
        <v>356</v>
      </c>
      <c r="G12" s="62" t="n">
        <v>135</v>
      </c>
      <c r="H12" s="23" t="n">
        <f aca="false">G12/B12</f>
        <v>135</v>
      </c>
      <c r="I12" s="10" t="s">
        <v>357</v>
      </c>
      <c r="J12" s="10" t="s">
        <v>358</v>
      </c>
    </row>
    <row r="13" customFormat="false" ht="15" hidden="false" customHeight="false" outlineLevel="0" collapsed="false">
      <c r="A13" s="61" t="n">
        <v>1</v>
      </c>
      <c r="B13" s="57" t="n">
        <v>1</v>
      </c>
      <c r="C13" s="10" t="s">
        <v>350</v>
      </c>
      <c r="D13" s="10" t="s">
        <v>359</v>
      </c>
      <c r="E13" s="10" t="s">
        <v>181</v>
      </c>
      <c r="F13" s="10" t="s">
        <v>360</v>
      </c>
      <c r="G13" s="62" t="n">
        <v>298</v>
      </c>
      <c r="H13" s="23" t="n">
        <f aca="false">G13/B13</f>
        <v>298</v>
      </c>
      <c r="I13" s="10" t="s">
        <v>361</v>
      </c>
      <c r="J13" s="10" t="s">
        <v>362</v>
      </c>
    </row>
    <row r="14" customFormat="false" ht="15" hidden="false" customHeight="false" outlineLevel="0" collapsed="false">
      <c r="A14" s="61" t="n">
        <v>1</v>
      </c>
      <c r="B14" s="57" t="n">
        <v>1</v>
      </c>
      <c r="C14" s="10" t="s">
        <v>350</v>
      </c>
      <c r="D14" s="10" t="s">
        <v>363</v>
      </c>
      <c r="E14" s="10" t="s">
        <v>181</v>
      </c>
      <c r="F14" s="10" t="s">
        <v>364</v>
      </c>
      <c r="G14" s="62" t="n">
        <v>329</v>
      </c>
      <c r="H14" s="23" t="n">
        <f aca="false">G14/B14</f>
        <v>329</v>
      </c>
      <c r="I14" s="10" t="s">
        <v>361</v>
      </c>
      <c r="J14" s="10" t="s">
        <v>365</v>
      </c>
    </row>
    <row r="15" customFormat="false" ht="15" hidden="false" customHeight="false" outlineLevel="0" collapsed="false">
      <c r="A15" s="61" t="n">
        <v>3</v>
      </c>
      <c r="B15" s="57" t="n">
        <v>3</v>
      </c>
      <c r="C15" s="10" t="s">
        <v>325</v>
      </c>
      <c r="D15" s="10" t="s">
        <v>366</v>
      </c>
      <c r="E15" s="10" t="s">
        <v>342</v>
      </c>
      <c r="F15" s="10" t="s">
        <v>367</v>
      </c>
      <c r="G15" s="62" t="n">
        <v>46.99</v>
      </c>
      <c r="H15" s="23" t="n">
        <f aca="false">G15/B15</f>
        <v>15.6633333333333</v>
      </c>
      <c r="I15" s="10" t="s">
        <v>368</v>
      </c>
      <c r="J15" s="10" t="s">
        <v>369</v>
      </c>
    </row>
    <row r="16" customFormat="false" ht="15" hidden="false" customHeight="false" outlineLevel="0" collapsed="false">
      <c r="A16" s="61" t="n">
        <v>3</v>
      </c>
      <c r="B16" s="57" t="n">
        <v>3</v>
      </c>
      <c r="C16" s="10" t="s">
        <v>325</v>
      </c>
      <c r="D16" s="10" t="s">
        <v>370</v>
      </c>
      <c r="E16" s="10" t="s">
        <v>179</v>
      </c>
      <c r="F16" s="10" t="s">
        <v>367</v>
      </c>
      <c r="G16" s="62" t="n">
        <v>58.99</v>
      </c>
      <c r="H16" s="23" t="n">
        <f aca="false">G16/B16</f>
        <v>19.6633333333333</v>
      </c>
      <c r="I16" s="10" t="s">
        <v>371</v>
      </c>
      <c r="J16" s="10" t="s">
        <v>372</v>
      </c>
    </row>
    <row r="17" customFormat="false" ht="15" hidden="false" customHeight="false" outlineLevel="0" collapsed="false">
      <c r="A17" s="61" t="n">
        <v>3</v>
      </c>
      <c r="B17" s="57" t="n">
        <v>3</v>
      </c>
      <c r="C17" s="10" t="s">
        <v>325</v>
      </c>
      <c r="D17" s="10" t="s">
        <v>373</v>
      </c>
      <c r="E17" s="10" t="s">
        <v>374</v>
      </c>
      <c r="F17" s="10" t="s">
        <v>367</v>
      </c>
      <c r="G17" s="62" t="n">
        <v>59.9</v>
      </c>
      <c r="H17" s="23" t="n">
        <f aca="false">G17/B17</f>
        <v>19.9666666666667</v>
      </c>
      <c r="I17" s="10" t="s">
        <v>375</v>
      </c>
      <c r="J17" s="10" t="s">
        <v>372</v>
      </c>
    </row>
    <row r="18" customFormat="false" ht="15" hidden="false" customHeight="false" outlineLevel="0" collapsed="false">
      <c r="A18" s="61" t="n">
        <v>3</v>
      </c>
      <c r="B18" s="57" t="n">
        <v>3</v>
      </c>
      <c r="C18" s="10" t="s">
        <v>325</v>
      </c>
      <c r="D18" s="10" t="s">
        <v>376</v>
      </c>
      <c r="E18" s="10" t="s">
        <v>178</v>
      </c>
      <c r="F18" s="10" t="s">
        <v>343</v>
      </c>
      <c r="G18" s="62" t="n">
        <v>69.9</v>
      </c>
      <c r="H18" s="23" t="n">
        <f aca="false">G18/B18</f>
        <v>23.3</v>
      </c>
      <c r="I18" s="10" t="s">
        <v>336</v>
      </c>
      <c r="J18" s="10" t="s">
        <v>178</v>
      </c>
    </row>
    <row r="19" customFormat="false" ht="15" hidden="false" customHeight="false" outlineLevel="0" collapsed="false">
      <c r="A19" s="61" t="n">
        <v>3</v>
      </c>
      <c r="B19" s="57" t="n">
        <v>3</v>
      </c>
      <c r="C19" s="10" t="s">
        <v>340</v>
      </c>
      <c r="D19" s="10" t="s">
        <v>377</v>
      </c>
      <c r="E19" s="10" t="s">
        <v>178</v>
      </c>
      <c r="F19" s="10" t="s">
        <v>378</v>
      </c>
      <c r="G19" s="62" t="n">
        <v>49.59</v>
      </c>
      <c r="H19" s="23" t="n">
        <f aca="false">G19/B19</f>
        <v>16.53</v>
      </c>
      <c r="I19" s="10" t="s">
        <v>368</v>
      </c>
      <c r="J19" s="10" t="s">
        <v>369</v>
      </c>
    </row>
    <row r="20" customFormat="false" ht="15" hidden="false" customHeight="false" outlineLevel="0" collapsed="false">
      <c r="A20" s="61" t="n">
        <v>3</v>
      </c>
      <c r="B20" s="57" t="n">
        <v>3</v>
      </c>
      <c r="C20" s="10" t="s">
        <v>340</v>
      </c>
      <c r="D20" s="10" t="s">
        <v>377</v>
      </c>
      <c r="E20" s="10" t="s">
        <v>178</v>
      </c>
      <c r="F20" s="10" t="s">
        <v>378</v>
      </c>
      <c r="G20" s="62" t="n">
        <v>70</v>
      </c>
      <c r="H20" s="23" t="n">
        <f aca="false">G20/B20</f>
        <v>23.3333333333333</v>
      </c>
      <c r="I20" s="10" t="s">
        <v>368</v>
      </c>
      <c r="J20" s="10" t="s">
        <v>379</v>
      </c>
    </row>
    <row r="21" customFormat="false" ht="15" hidden="false" customHeight="false" outlineLevel="0" collapsed="false">
      <c r="A21" s="61" t="n">
        <v>3</v>
      </c>
      <c r="B21" s="57" t="n">
        <v>3</v>
      </c>
      <c r="C21" s="10" t="s">
        <v>340</v>
      </c>
      <c r="D21" s="10" t="s">
        <v>380</v>
      </c>
      <c r="E21" s="10" t="s">
        <v>181</v>
      </c>
      <c r="F21" s="10" t="s">
        <v>381</v>
      </c>
      <c r="G21" s="62" t="n">
        <v>99.98</v>
      </c>
      <c r="H21" s="23" t="n">
        <f aca="false">G21/B21</f>
        <v>33.3266666666667</v>
      </c>
      <c r="I21" s="10" t="s">
        <v>361</v>
      </c>
      <c r="J21" s="10" t="s">
        <v>382</v>
      </c>
    </row>
    <row r="22" customFormat="false" ht="15" hidden="false" customHeight="false" outlineLevel="0" collapsed="false">
      <c r="A22" s="61" t="n">
        <v>3</v>
      </c>
      <c r="B22" s="57" t="n">
        <v>3</v>
      </c>
      <c r="C22" s="10" t="s">
        <v>340</v>
      </c>
      <c r="D22" s="10" t="s">
        <v>383</v>
      </c>
      <c r="E22" s="10" t="s">
        <v>178</v>
      </c>
      <c r="F22" s="10" t="s">
        <v>384</v>
      </c>
      <c r="G22" s="62" t="n">
        <v>140</v>
      </c>
      <c r="H22" s="23" t="n">
        <f aca="false">G22/B22</f>
        <v>46.6666666666667</v>
      </c>
      <c r="I22" s="10" t="s">
        <v>336</v>
      </c>
      <c r="J22" s="10" t="s">
        <v>178</v>
      </c>
    </row>
    <row r="23" customFormat="false" ht="15" hidden="false" customHeight="false" outlineLevel="0" collapsed="false">
      <c r="A23" s="61" t="n">
        <v>3</v>
      </c>
      <c r="B23" s="57" t="n">
        <v>3</v>
      </c>
      <c r="C23" s="10" t="s">
        <v>340</v>
      </c>
      <c r="D23" s="10" t="s">
        <v>385</v>
      </c>
      <c r="E23" s="10" t="s">
        <v>342</v>
      </c>
      <c r="F23" s="10" t="s">
        <v>386</v>
      </c>
      <c r="G23" s="62" t="n">
        <v>143.82</v>
      </c>
      <c r="H23" s="23" t="n">
        <f aca="false">G23/B23</f>
        <v>47.94</v>
      </c>
      <c r="I23" s="10" t="s">
        <v>387</v>
      </c>
      <c r="J23" s="10" t="s">
        <v>342</v>
      </c>
    </row>
    <row r="24" customFormat="false" ht="15" hidden="false" customHeight="false" outlineLevel="0" collapsed="false">
      <c r="A24" s="61" t="n">
        <v>3</v>
      </c>
      <c r="B24" s="57" t="n">
        <v>3</v>
      </c>
      <c r="C24" s="10" t="s">
        <v>340</v>
      </c>
      <c r="D24" s="10" t="s">
        <v>388</v>
      </c>
      <c r="E24" s="10" t="s">
        <v>178</v>
      </c>
      <c r="F24" s="10" t="s">
        <v>343</v>
      </c>
      <c r="G24" s="62" t="n">
        <v>156.99</v>
      </c>
      <c r="H24" s="23" t="n">
        <f aca="false">G24/B24</f>
        <v>52.33</v>
      </c>
      <c r="I24" s="10" t="s">
        <v>389</v>
      </c>
      <c r="J24" s="10" t="s">
        <v>178</v>
      </c>
    </row>
    <row r="25" customFormat="false" ht="15" hidden="false" customHeight="false" outlineLevel="0" collapsed="false">
      <c r="A25" s="61" t="n">
        <v>3</v>
      </c>
      <c r="B25" s="57" t="n">
        <v>3</v>
      </c>
      <c r="C25" s="10" t="s">
        <v>350</v>
      </c>
      <c r="D25" s="10" t="s">
        <v>390</v>
      </c>
      <c r="E25" s="10" t="s">
        <v>181</v>
      </c>
      <c r="F25" s="10" t="s">
        <v>391</v>
      </c>
      <c r="G25" s="62" t="n">
        <v>166.36</v>
      </c>
      <c r="H25" s="23" t="n">
        <f aca="false">G25/B25</f>
        <v>55.4533333333333</v>
      </c>
      <c r="I25" s="10" t="s">
        <v>392</v>
      </c>
      <c r="J25" s="10" t="s">
        <v>393</v>
      </c>
    </row>
    <row r="26" customFormat="false" ht="15" hidden="false" customHeight="false" outlineLevel="0" collapsed="false">
      <c r="A26" s="61" t="n">
        <v>5</v>
      </c>
      <c r="B26" s="57" t="n">
        <v>5</v>
      </c>
      <c r="C26" s="10" t="s">
        <v>325</v>
      </c>
      <c r="D26" s="10" t="s">
        <v>394</v>
      </c>
      <c r="E26" s="10" t="s">
        <v>178</v>
      </c>
      <c r="F26" s="10" t="s">
        <v>395</v>
      </c>
      <c r="G26" s="62" t="n">
        <v>38.86</v>
      </c>
      <c r="H26" s="23" t="n">
        <f aca="false">G26/B26</f>
        <v>7.772</v>
      </c>
      <c r="I26" s="10" t="s">
        <v>396</v>
      </c>
      <c r="J26" s="10" t="s">
        <v>369</v>
      </c>
    </row>
    <row r="27" customFormat="false" ht="15" hidden="false" customHeight="false" outlineLevel="0" collapsed="false">
      <c r="A27" s="61" t="n">
        <v>5</v>
      </c>
      <c r="B27" s="57" t="n">
        <v>5</v>
      </c>
      <c r="C27" s="10" t="s">
        <v>325</v>
      </c>
      <c r="D27" s="10" t="s">
        <v>397</v>
      </c>
      <c r="E27" s="10" t="s">
        <v>178</v>
      </c>
      <c r="F27" s="10" t="s">
        <v>343</v>
      </c>
      <c r="G27" s="62" t="n">
        <v>63</v>
      </c>
      <c r="H27" s="23" t="n">
        <f aca="false">G27/B27</f>
        <v>12.6</v>
      </c>
      <c r="I27" s="10" t="s">
        <v>368</v>
      </c>
      <c r="J27" s="10" t="s">
        <v>369</v>
      </c>
    </row>
    <row r="28" customFormat="false" ht="15" hidden="false" customHeight="false" outlineLevel="0" collapsed="false">
      <c r="A28" s="61" t="n">
        <v>5</v>
      </c>
      <c r="B28" s="57" t="n">
        <v>4</v>
      </c>
      <c r="C28" s="10" t="s">
        <v>325</v>
      </c>
      <c r="D28" s="10" t="s">
        <v>398</v>
      </c>
      <c r="E28" s="10" t="s">
        <v>342</v>
      </c>
      <c r="F28" s="10" t="s">
        <v>343</v>
      </c>
      <c r="G28" s="62" t="n">
        <v>68</v>
      </c>
      <c r="H28" s="23" t="n">
        <f aca="false">G28/B28</f>
        <v>17</v>
      </c>
      <c r="I28" s="10" t="s">
        <v>368</v>
      </c>
      <c r="J28" s="10" t="s">
        <v>369</v>
      </c>
    </row>
    <row r="29" customFormat="false" ht="15" hidden="false" customHeight="false" outlineLevel="0" collapsed="false">
      <c r="A29" s="61" t="n">
        <v>5</v>
      </c>
      <c r="B29" s="57" t="n">
        <v>5</v>
      </c>
      <c r="C29" s="10" t="s">
        <v>340</v>
      </c>
      <c r="D29" s="10" t="s">
        <v>399</v>
      </c>
      <c r="E29" s="10" t="s">
        <v>400</v>
      </c>
      <c r="F29" s="10" t="s">
        <v>343</v>
      </c>
      <c r="G29" s="62" t="n">
        <v>109.99</v>
      </c>
      <c r="H29" s="23" t="n">
        <f aca="false">G29/B29</f>
        <v>21.998</v>
      </c>
      <c r="I29" s="10" t="s">
        <v>353</v>
      </c>
      <c r="J29" s="10" t="s">
        <v>401</v>
      </c>
    </row>
    <row r="30" customFormat="false" ht="15" hidden="false" customHeight="false" outlineLevel="0" collapsed="false">
      <c r="A30" s="61" t="n">
        <v>5</v>
      </c>
      <c r="B30" s="57" t="n">
        <v>5</v>
      </c>
      <c r="C30" s="10" t="s">
        <v>340</v>
      </c>
      <c r="D30" s="10" t="s">
        <v>402</v>
      </c>
      <c r="E30" s="10" t="s">
        <v>178</v>
      </c>
      <c r="F30" s="10" t="s">
        <v>403</v>
      </c>
      <c r="G30" s="62" t="n">
        <v>123.01</v>
      </c>
      <c r="H30" s="23" t="n">
        <f aca="false">G30/B30</f>
        <v>24.602</v>
      </c>
      <c r="I30" s="10" t="s">
        <v>404</v>
      </c>
      <c r="J30" s="10" t="s">
        <v>178</v>
      </c>
    </row>
    <row r="31" customFormat="false" ht="15" hidden="false" customHeight="false" outlineLevel="0" collapsed="false">
      <c r="A31" s="61" t="n">
        <v>5</v>
      </c>
      <c r="B31" s="57" t="n">
        <v>6</v>
      </c>
      <c r="C31" s="10" t="s">
        <v>340</v>
      </c>
      <c r="D31" s="10" t="s">
        <v>405</v>
      </c>
      <c r="E31" s="10" t="s">
        <v>178</v>
      </c>
      <c r="F31" s="10" t="s">
        <v>343</v>
      </c>
      <c r="G31" s="62" t="n">
        <v>145.4</v>
      </c>
      <c r="H31" s="23" t="n">
        <f aca="false">G31/B31</f>
        <v>24.2333333333333</v>
      </c>
      <c r="I31" s="10" t="s">
        <v>406</v>
      </c>
      <c r="J31" s="10" t="s">
        <v>178</v>
      </c>
    </row>
    <row r="32" customFormat="false" ht="15" hidden="false" customHeight="false" outlineLevel="0" collapsed="false">
      <c r="A32" s="61" t="n">
        <v>5</v>
      </c>
      <c r="B32" s="57" t="n">
        <v>5</v>
      </c>
      <c r="C32" s="10" t="s">
        <v>340</v>
      </c>
      <c r="D32" s="10" t="s">
        <v>399</v>
      </c>
      <c r="E32" s="10" t="s">
        <v>178</v>
      </c>
      <c r="F32" s="10" t="s">
        <v>343</v>
      </c>
      <c r="G32" s="62" t="n">
        <v>174.99</v>
      </c>
      <c r="H32" s="23" t="n">
        <f aca="false">G32/B32</f>
        <v>34.998</v>
      </c>
      <c r="I32" s="10" t="s">
        <v>407</v>
      </c>
      <c r="J32" s="10" t="s">
        <v>178</v>
      </c>
    </row>
    <row r="33" customFormat="false" ht="15" hidden="false" customHeight="false" outlineLevel="0" collapsed="false">
      <c r="A33" s="61" t="n">
        <v>5</v>
      </c>
      <c r="B33" s="57" t="n">
        <v>4</v>
      </c>
      <c r="C33" s="10" t="s">
        <v>350</v>
      </c>
      <c r="D33" s="10" t="s">
        <v>408</v>
      </c>
      <c r="E33" s="10" t="s">
        <v>180</v>
      </c>
      <c r="F33" s="10" t="s">
        <v>409</v>
      </c>
      <c r="G33" s="62" t="n">
        <v>179.9</v>
      </c>
      <c r="H33" s="23" t="n">
        <f aca="false">G33/B33</f>
        <v>44.975</v>
      </c>
      <c r="I33" s="10" t="s">
        <v>410</v>
      </c>
      <c r="J33" s="10" t="s">
        <v>180</v>
      </c>
    </row>
    <row r="34" customFormat="false" ht="15" hidden="false" customHeight="false" outlineLevel="0" collapsed="false">
      <c r="A34" s="61" t="n">
        <v>5</v>
      </c>
      <c r="B34" s="57" t="n">
        <v>4</v>
      </c>
      <c r="C34" s="10" t="s">
        <v>350</v>
      </c>
      <c r="D34" s="10" t="s">
        <v>411</v>
      </c>
      <c r="E34" s="10" t="s">
        <v>181</v>
      </c>
      <c r="F34" s="10" t="s">
        <v>352</v>
      </c>
      <c r="G34" s="62" t="n">
        <v>459.15</v>
      </c>
      <c r="H34" s="23" t="n">
        <f aca="false">G34/B34</f>
        <v>114.7875</v>
      </c>
      <c r="I34" s="10" t="s">
        <v>412</v>
      </c>
      <c r="J34" s="10" t="s">
        <v>354</v>
      </c>
    </row>
    <row r="35" customFormat="false" ht="15" hidden="false" customHeight="false" outlineLevel="0" collapsed="false">
      <c r="A35" s="61" t="n">
        <v>5</v>
      </c>
      <c r="B35" s="57" t="n">
        <v>6</v>
      </c>
      <c r="C35" s="10" t="s">
        <v>350</v>
      </c>
      <c r="D35" s="10" t="s">
        <v>413</v>
      </c>
      <c r="E35" s="10" t="s">
        <v>181</v>
      </c>
      <c r="F35" s="10" t="s">
        <v>352</v>
      </c>
      <c r="G35" s="62" t="n">
        <v>766.2</v>
      </c>
      <c r="H35" s="23" t="n">
        <f aca="false">G35/B35</f>
        <v>127.7</v>
      </c>
      <c r="I35" s="10" t="s">
        <v>414</v>
      </c>
      <c r="J35" s="10" t="s">
        <v>354</v>
      </c>
    </row>
    <row r="36" customFormat="false" ht="15" hidden="false" customHeight="false" outlineLevel="0" collapsed="false">
      <c r="A36" s="61" t="n">
        <v>10</v>
      </c>
      <c r="B36" s="57" t="n">
        <v>10</v>
      </c>
      <c r="C36" s="10" t="s">
        <v>325</v>
      </c>
      <c r="D36" s="10" t="s">
        <v>415</v>
      </c>
      <c r="E36" s="10" t="s">
        <v>181</v>
      </c>
      <c r="F36" s="10" t="s">
        <v>416</v>
      </c>
      <c r="G36" s="62" t="n">
        <v>149.9</v>
      </c>
      <c r="H36" s="23" t="n">
        <f aca="false">G36/B36</f>
        <v>14.99</v>
      </c>
      <c r="I36" s="10" t="s">
        <v>417</v>
      </c>
      <c r="J36" s="10" t="s">
        <v>418</v>
      </c>
    </row>
    <row r="37" customFormat="false" ht="15" hidden="false" customHeight="false" outlineLevel="0" collapsed="false">
      <c r="A37" s="61" t="n">
        <v>10</v>
      </c>
      <c r="B37" s="57" t="n">
        <v>10</v>
      </c>
      <c r="C37" s="10" t="s">
        <v>340</v>
      </c>
      <c r="D37" s="10" t="s">
        <v>419</v>
      </c>
      <c r="E37" s="10" t="s">
        <v>178</v>
      </c>
      <c r="F37" s="10" t="s">
        <v>420</v>
      </c>
      <c r="G37" s="62" t="n">
        <v>180.89</v>
      </c>
      <c r="H37" s="23" t="n">
        <f aca="false">G37/B37</f>
        <v>18.089</v>
      </c>
      <c r="I37" s="10" t="s">
        <v>421</v>
      </c>
      <c r="J37" s="10" t="s">
        <v>178</v>
      </c>
    </row>
    <row r="38" customFormat="false" ht="15" hidden="false" customHeight="false" outlineLevel="0" collapsed="false">
      <c r="A38" s="61" t="n">
        <v>10</v>
      </c>
      <c r="B38" s="57" t="n">
        <v>10</v>
      </c>
      <c r="C38" s="10" t="s">
        <v>340</v>
      </c>
      <c r="D38" s="10" t="s">
        <v>419</v>
      </c>
      <c r="E38" s="10" t="s">
        <v>178</v>
      </c>
      <c r="F38" s="10" t="s">
        <v>420</v>
      </c>
      <c r="G38" s="62" t="n">
        <v>224.99</v>
      </c>
      <c r="H38" s="23" t="n">
        <f aca="false">G38/B38</f>
        <v>22.499</v>
      </c>
      <c r="I38" s="10" t="s">
        <v>422</v>
      </c>
      <c r="J38" s="10" t="s">
        <v>178</v>
      </c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5" hidden="false" customHeight="false" outlineLevel="0" collapsed="false">
      <c r="A41" s="4" t="s">
        <v>423</v>
      </c>
      <c r="B41" s="5"/>
      <c r="C41" s="5"/>
      <c r="D41" s="5"/>
      <c r="E41" s="5"/>
      <c r="F41" s="5"/>
      <c r="G41" s="5"/>
      <c r="H41" s="5"/>
      <c r="I41" s="5"/>
      <c r="J41" s="5"/>
    </row>
    <row r="42" customFormat="false" ht="19.5" hidden="false" customHeight="true" outlineLevel="0" collapsed="false">
      <c r="A42" s="31" t="s">
        <v>317</v>
      </c>
      <c r="B42" s="32" t="s">
        <v>424</v>
      </c>
      <c r="C42" s="32" t="s">
        <v>318</v>
      </c>
      <c r="D42" s="32" t="s">
        <v>425</v>
      </c>
      <c r="E42" s="32" t="s">
        <v>426</v>
      </c>
      <c r="F42" s="32" t="s">
        <v>427</v>
      </c>
      <c r="G42" s="2"/>
      <c r="H42" s="2"/>
      <c r="I42" s="2"/>
      <c r="J42" s="2"/>
    </row>
    <row r="43" customFormat="false" ht="15" hidden="false" customHeight="false" outlineLevel="0" collapsed="false">
      <c r="A43" s="61" t="n">
        <v>1</v>
      </c>
      <c r="B43" s="20" t="n">
        <f aca="false">COUNT(H5:H8)</f>
        <v>4</v>
      </c>
      <c r="C43" s="10" t="s">
        <v>325</v>
      </c>
      <c r="D43" s="23" t="n">
        <f aca="false">MIN(H5:H8)</f>
        <v>14.9</v>
      </c>
      <c r="E43" s="43" t="n">
        <f aca="false">MEDIAN(H5:H8)</f>
        <v>31.725</v>
      </c>
      <c r="F43" s="23" t="n">
        <f aca="false">MAX(H5:H8)</f>
        <v>39.92</v>
      </c>
      <c r="G43" s="2"/>
      <c r="H43" s="2"/>
      <c r="I43" s="2"/>
      <c r="J43" s="2"/>
    </row>
    <row r="44" customFormat="false" ht="15" hidden="false" customHeight="false" outlineLevel="0" collapsed="false">
      <c r="A44" s="61" t="n">
        <v>1</v>
      </c>
      <c r="B44" s="20" t="n">
        <f aca="false">COUNT(H9:H10)</f>
        <v>2</v>
      </c>
      <c r="C44" s="10" t="s">
        <v>340</v>
      </c>
      <c r="D44" s="23" t="n">
        <f aca="false">MIN(H9:H10)</f>
        <v>44.87</v>
      </c>
      <c r="E44" s="43" t="n">
        <f aca="false">MEDIAN(H9:H10)</f>
        <v>47.43</v>
      </c>
      <c r="F44" s="23" t="n">
        <f aca="false">MAX(H9:H10)</f>
        <v>49.99</v>
      </c>
      <c r="G44" s="2"/>
      <c r="H44" s="2"/>
      <c r="I44" s="2"/>
      <c r="J44" s="2"/>
    </row>
    <row r="45" customFormat="false" ht="15" hidden="false" customHeight="false" outlineLevel="0" collapsed="false">
      <c r="A45" s="61" t="n">
        <v>1</v>
      </c>
      <c r="B45" s="20" t="n">
        <f aca="false">COUNT(H11:H14)</f>
        <v>4</v>
      </c>
      <c r="C45" s="10" t="s">
        <v>350</v>
      </c>
      <c r="D45" s="23" t="n">
        <f aca="false">MIN(H11:H14)</f>
        <v>76.73</v>
      </c>
      <c r="E45" s="43" t="n">
        <f aca="false">MEDIAN(H11:H14)</f>
        <v>216.5</v>
      </c>
      <c r="F45" s="23" t="n">
        <f aca="false">MAX(H11:H14)</f>
        <v>329</v>
      </c>
      <c r="G45" s="2"/>
      <c r="H45" s="2"/>
      <c r="I45" s="2"/>
      <c r="J45" s="2"/>
    </row>
    <row r="46" customFormat="false" ht="15" hidden="false" customHeight="false" outlineLevel="0" collapsed="false">
      <c r="A46" s="61" t="n">
        <v>3</v>
      </c>
      <c r="B46" s="20" t="n">
        <f aca="false">COUNT(H15:H18)</f>
        <v>4</v>
      </c>
      <c r="C46" s="10" t="s">
        <v>325</v>
      </c>
      <c r="D46" s="23" t="n">
        <f aca="false">MIN(H15:H18)</f>
        <v>15.6633333333333</v>
      </c>
      <c r="E46" s="43" t="n">
        <f aca="false">MEDIAN(H15:H18)</f>
        <v>19.815</v>
      </c>
      <c r="F46" s="23" t="n">
        <f aca="false">MAX(H15:H18)</f>
        <v>23.3</v>
      </c>
      <c r="G46" s="2"/>
      <c r="H46" s="2"/>
      <c r="I46" s="2"/>
      <c r="J46" s="2"/>
    </row>
    <row r="47" customFormat="false" ht="15" hidden="false" customHeight="false" outlineLevel="0" collapsed="false">
      <c r="A47" s="61" t="n">
        <v>3</v>
      </c>
      <c r="B47" s="20" t="n">
        <f aca="false">COUNT(H19:H24)</f>
        <v>6</v>
      </c>
      <c r="C47" s="10" t="s">
        <v>340</v>
      </c>
      <c r="D47" s="23" t="n">
        <f aca="false">MIN(H19:H24)</f>
        <v>16.53</v>
      </c>
      <c r="E47" s="43" t="n">
        <f aca="false">MEDIAN(H19:H24)</f>
        <v>39.9966666666667</v>
      </c>
      <c r="F47" s="23" t="n">
        <f aca="false">MAX(H19:H24)</f>
        <v>52.33</v>
      </c>
      <c r="G47" s="2"/>
      <c r="H47" s="2"/>
      <c r="I47" s="2"/>
      <c r="J47" s="2"/>
    </row>
    <row r="48" customFormat="false" ht="15" hidden="false" customHeight="false" outlineLevel="0" collapsed="false">
      <c r="A48" s="61" t="n">
        <v>3</v>
      </c>
      <c r="B48" s="20" t="n">
        <f aca="false">COUNT(H25:H25)</f>
        <v>1</v>
      </c>
      <c r="C48" s="10" t="s">
        <v>350</v>
      </c>
      <c r="D48" s="23" t="n">
        <f aca="false">MIN(H25:H25)</f>
        <v>55.4533333333333</v>
      </c>
      <c r="E48" s="43" t="n">
        <f aca="false">MEDIAN(H25:H25)</f>
        <v>55.4533333333333</v>
      </c>
      <c r="F48" s="23" t="n">
        <f aca="false">MAX(H25:H25)</f>
        <v>55.4533333333333</v>
      </c>
      <c r="G48" s="2"/>
      <c r="H48" s="2"/>
      <c r="I48" s="2"/>
      <c r="J48" s="2"/>
    </row>
    <row r="49" customFormat="false" ht="15" hidden="false" customHeight="false" outlineLevel="0" collapsed="false">
      <c r="A49" s="61" t="n">
        <v>5</v>
      </c>
      <c r="B49" s="20" t="n">
        <f aca="false">COUNT(H26:H28)</f>
        <v>3</v>
      </c>
      <c r="C49" s="10" t="s">
        <v>325</v>
      </c>
      <c r="D49" s="23" t="n">
        <f aca="false">MIN(H26:H28)</f>
        <v>7.772</v>
      </c>
      <c r="E49" s="43" t="n">
        <f aca="false">MEDIAN(H26:H28)</f>
        <v>12.6</v>
      </c>
      <c r="F49" s="23" t="n">
        <f aca="false">MAX(H26:H28)</f>
        <v>17</v>
      </c>
      <c r="G49" s="2"/>
      <c r="H49" s="2"/>
      <c r="I49" s="2"/>
      <c r="J49" s="2"/>
    </row>
    <row r="50" customFormat="false" ht="15" hidden="false" customHeight="false" outlineLevel="0" collapsed="false">
      <c r="A50" s="61" t="n">
        <v>5</v>
      </c>
      <c r="B50" s="20" t="n">
        <f aca="false">COUNT(H29:H32)</f>
        <v>4</v>
      </c>
      <c r="C50" s="10" t="s">
        <v>340</v>
      </c>
      <c r="D50" s="23" t="n">
        <f aca="false">MIN(H29:H32)</f>
        <v>21.998</v>
      </c>
      <c r="E50" s="43" t="n">
        <f aca="false">MEDIAN(H29:H32)</f>
        <v>24.4176666666667</v>
      </c>
      <c r="F50" s="23" t="n">
        <f aca="false">MAX(H29:H32)</f>
        <v>34.998</v>
      </c>
      <c r="G50" s="2"/>
      <c r="H50" s="2"/>
      <c r="I50" s="2"/>
      <c r="J50" s="2"/>
    </row>
    <row r="51" customFormat="false" ht="15" hidden="false" customHeight="false" outlineLevel="0" collapsed="false">
      <c r="A51" s="61" t="n">
        <v>5</v>
      </c>
      <c r="B51" s="20" t="n">
        <f aca="false">COUNT(H33:H35)</f>
        <v>3</v>
      </c>
      <c r="C51" s="10" t="s">
        <v>350</v>
      </c>
      <c r="D51" s="23" t="n">
        <f aca="false">MIN(H33:H35)</f>
        <v>44.975</v>
      </c>
      <c r="E51" s="43" t="n">
        <f aca="false">MEDIAN(H33:H35)</f>
        <v>114.7875</v>
      </c>
      <c r="F51" s="23" t="n">
        <f aca="false">MAX(H33:H35)</f>
        <v>127.7</v>
      </c>
      <c r="G51" s="2"/>
      <c r="H51" s="2"/>
      <c r="I51" s="2"/>
      <c r="J51" s="2"/>
    </row>
    <row r="52" customFormat="false" ht="15" hidden="false" customHeight="false" outlineLevel="0" collapsed="false">
      <c r="A52" s="61" t="n">
        <v>10</v>
      </c>
      <c r="B52" s="20" t="n">
        <f aca="false">COUNT(H36:H36)</f>
        <v>1</v>
      </c>
      <c r="C52" s="10" t="s">
        <v>325</v>
      </c>
      <c r="D52" s="23" t="n">
        <f aca="false">MIN(H36:H36)</f>
        <v>14.99</v>
      </c>
      <c r="E52" s="43" t="n">
        <f aca="false">MEDIAN(H36:H36)</f>
        <v>14.99</v>
      </c>
      <c r="F52" s="23" t="n">
        <f aca="false">MAX(H36:H36)</f>
        <v>14.99</v>
      </c>
      <c r="G52" s="2"/>
      <c r="H52" s="2"/>
      <c r="I52" s="2"/>
      <c r="J52" s="2"/>
    </row>
    <row r="53" customFormat="false" ht="15" hidden="false" customHeight="false" outlineLevel="0" collapsed="false">
      <c r="A53" s="61" t="n">
        <v>10</v>
      </c>
      <c r="B53" s="20" t="n">
        <f aca="false">COUNT(H37:H38)</f>
        <v>2</v>
      </c>
      <c r="C53" s="10" t="s">
        <v>340</v>
      </c>
      <c r="D53" s="23" t="n">
        <f aca="false">MIN(H37:H38)</f>
        <v>18.089</v>
      </c>
      <c r="E53" s="43" t="n">
        <f aca="false">MEDIAN(H37:H38)</f>
        <v>20.294</v>
      </c>
      <c r="F53" s="23" t="n">
        <f aca="false">MAX(H37:H38)</f>
        <v>22.499</v>
      </c>
      <c r="G53" s="2"/>
      <c r="H53" s="2"/>
      <c r="I53" s="2"/>
      <c r="J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5" hidden="false" customHeight="false" outlineLevel="0" collapsed="false">
      <c r="A55" s="4" t="s">
        <v>428</v>
      </c>
      <c r="B55" s="5"/>
      <c r="C55" s="5"/>
      <c r="D55" s="5"/>
      <c r="E55" s="5"/>
      <c r="F55" s="5"/>
      <c r="G55" s="5"/>
      <c r="H55" s="5"/>
      <c r="I55" s="5"/>
      <c r="J55" s="5"/>
    </row>
    <row r="56" customFormat="false" ht="19.5" hidden="false" customHeight="true" outlineLevel="0" collapsed="false">
      <c r="A56" s="31" t="s">
        <v>429</v>
      </c>
      <c r="B56" s="32" t="s">
        <v>245</v>
      </c>
      <c r="C56" s="32" t="s">
        <v>430</v>
      </c>
      <c r="D56" s="32" t="s">
        <v>431</v>
      </c>
      <c r="E56" s="32" t="s">
        <v>432</v>
      </c>
      <c r="F56" s="32" t="s">
        <v>323</v>
      </c>
      <c r="G56" s="32" t="s">
        <v>321</v>
      </c>
      <c r="H56" s="32" t="s">
        <v>322</v>
      </c>
      <c r="I56" s="32" t="s">
        <v>433</v>
      </c>
      <c r="J56" s="2"/>
    </row>
    <row r="57" customFormat="false" ht="15" hidden="false" customHeight="false" outlineLevel="0" collapsed="false">
      <c r="A57" s="60" t="n">
        <v>1</v>
      </c>
      <c r="B57" s="57" t="n">
        <v>1</v>
      </c>
      <c r="C57" s="6" t="s">
        <v>434</v>
      </c>
      <c r="D57" s="10" t="s">
        <v>435</v>
      </c>
      <c r="E57" s="10" t="s">
        <v>436</v>
      </c>
      <c r="F57" s="10" t="s">
        <v>437</v>
      </c>
      <c r="G57" s="62" t="n">
        <v>49.99</v>
      </c>
      <c r="H57" s="23" t="n">
        <f aca="false">G57/B57</f>
        <v>49.99</v>
      </c>
      <c r="I57" s="10" t="s">
        <v>438</v>
      </c>
      <c r="J57" s="2"/>
    </row>
    <row r="58" customFormat="false" ht="15" hidden="false" customHeight="false" outlineLevel="0" collapsed="false">
      <c r="A58" s="60" t="n">
        <v>2</v>
      </c>
      <c r="B58" s="57" t="n">
        <v>5</v>
      </c>
      <c r="C58" s="6" t="s">
        <v>439</v>
      </c>
      <c r="D58" s="10" t="s">
        <v>440</v>
      </c>
      <c r="E58" s="10" t="s">
        <v>441</v>
      </c>
      <c r="F58" s="10" t="s">
        <v>442</v>
      </c>
      <c r="G58" s="62" t="n">
        <v>123.01</v>
      </c>
      <c r="H58" s="23" t="n">
        <f aca="false">G58/B58</f>
        <v>24.602</v>
      </c>
      <c r="I58" s="10" t="s">
        <v>443</v>
      </c>
      <c r="J58" s="2"/>
    </row>
    <row r="59" customFormat="false" ht="15" hidden="false" customHeight="false" outlineLevel="0" collapsed="false">
      <c r="A59" s="60" t="n">
        <v>3</v>
      </c>
      <c r="B59" s="57" t="n">
        <v>3</v>
      </c>
      <c r="C59" s="6" t="s">
        <v>444</v>
      </c>
      <c r="D59" s="10" t="s">
        <v>445</v>
      </c>
      <c r="E59" s="10" t="s">
        <v>446</v>
      </c>
      <c r="F59" s="10" t="s">
        <v>447</v>
      </c>
      <c r="G59" s="62" t="n">
        <v>166.36</v>
      </c>
      <c r="H59" s="23" t="n">
        <f aca="false">G59/B59</f>
        <v>55.4533333333333</v>
      </c>
      <c r="I59" s="10" t="s">
        <v>448</v>
      </c>
      <c r="J59" s="2"/>
    </row>
    <row r="60" customFormat="false" ht="15" hidden="false" customHeight="false" outlineLevel="0" collapsed="false">
      <c r="A60" s="60" t="n">
        <v>4</v>
      </c>
      <c r="B60" s="57" t="n">
        <v>4</v>
      </c>
      <c r="C60" s="6" t="s">
        <v>449</v>
      </c>
      <c r="D60" s="10" t="s">
        <v>450</v>
      </c>
      <c r="E60" s="10" t="s">
        <v>451</v>
      </c>
      <c r="F60" s="10" t="s">
        <v>452</v>
      </c>
      <c r="G60" s="62" t="n">
        <v>459.15</v>
      </c>
      <c r="H60" s="23" t="n">
        <f aca="false">G60/B60</f>
        <v>114.7875</v>
      </c>
      <c r="I60" s="10" t="s">
        <v>453</v>
      </c>
      <c r="J60" s="2"/>
    </row>
    <row r="61" customFormat="false" ht="15" hidden="false" customHeight="false" outlineLevel="0" collapsed="false">
      <c r="A61" s="60" t="n">
        <v>5</v>
      </c>
      <c r="B61" s="57" t="n">
        <v>3</v>
      </c>
      <c r="C61" s="6" t="s">
        <v>454</v>
      </c>
      <c r="D61" s="10" t="s">
        <v>455</v>
      </c>
      <c r="E61" s="10" t="s">
        <v>456</v>
      </c>
      <c r="F61" s="10" t="s">
        <v>457</v>
      </c>
      <c r="G61" s="62" t="n">
        <v>156.99</v>
      </c>
      <c r="H61" s="23" t="n">
        <f aca="false">G61/B61</f>
        <v>52.33</v>
      </c>
      <c r="I61" s="10" t="s">
        <v>458</v>
      </c>
      <c r="J61" s="2"/>
    </row>
    <row r="62" customFormat="false" ht="15" hidden="false" customHeight="false" outlineLevel="0" collapsed="false">
      <c r="A62" s="60" t="n">
        <v>6</v>
      </c>
      <c r="B62" s="57" t="n">
        <v>3</v>
      </c>
      <c r="C62" s="6" t="s">
        <v>459</v>
      </c>
      <c r="D62" s="10" t="s">
        <v>460</v>
      </c>
      <c r="E62" s="10" t="s">
        <v>461</v>
      </c>
      <c r="F62" s="10" t="s">
        <v>387</v>
      </c>
      <c r="G62" s="62" t="n">
        <v>143.82</v>
      </c>
      <c r="H62" s="23" t="n">
        <f aca="false">G62/B62</f>
        <v>47.94</v>
      </c>
      <c r="I62" s="10" t="s">
        <v>462</v>
      </c>
      <c r="J62" s="2"/>
    </row>
    <row r="63" customFormat="false" ht="15" hidden="false" customHeight="false" outlineLevel="0" collapsed="false">
      <c r="A63" s="60" t="n">
        <v>7</v>
      </c>
      <c r="B63" s="57" t="n">
        <v>10</v>
      </c>
      <c r="C63" s="6" t="s">
        <v>334</v>
      </c>
      <c r="D63" s="10" t="s">
        <v>463</v>
      </c>
      <c r="E63" s="10" t="s">
        <v>464</v>
      </c>
      <c r="F63" s="10" t="s">
        <v>465</v>
      </c>
      <c r="G63" s="62" t="n">
        <v>224.99</v>
      </c>
      <c r="H63" s="23" t="n">
        <f aca="false">G63/B63</f>
        <v>22.499</v>
      </c>
      <c r="I63" s="10" t="s">
        <v>466</v>
      </c>
      <c r="J63" s="2"/>
    </row>
    <row r="64" customFormat="false" ht="15" hidden="false" customHeight="false" outlineLevel="0" collapsed="false">
      <c r="A64" s="60" t="n">
        <v>8</v>
      </c>
      <c r="B64" s="57" t="n">
        <v>3</v>
      </c>
      <c r="C64" s="6" t="s">
        <v>374</v>
      </c>
      <c r="D64" s="10" t="s">
        <v>467</v>
      </c>
      <c r="E64" s="10" t="s">
        <v>374</v>
      </c>
      <c r="F64" s="10" t="s">
        <v>375</v>
      </c>
      <c r="G64" s="62" t="n">
        <v>59.9</v>
      </c>
      <c r="H64" s="23" t="n">
        <f aca="false">G64/B64</f>
        <v>19.9666666666667</v>
      </c>
      <c r="I64" s="10" t="s">
        <v>468</v>
      </c>
      <c r="J64" s="2"/>
    </row>
    <row r="65" customFormat="false" ht="15" hidden="false" customHeight="false" outlineLevel="0" collapsed="false">
      <c r="A65" s="60" t="n">
        <v>9</v>
      </c>
      <c r="B65" s="57" t="n">
        <v>1</v>
      </c>
      <c r="C65" s="6" t="s">
        <v>469</v>
      </c>
      <c r="D65" s="10" t="s">
        <v>470</v>
      </c>
      <c r="E65" s="10" t="s">
        <v>471</v>
      </c>
      <c r="F65" s="10" t="s">
        <v>332</v>
      </c>
      <c r="G65" s="62" t="n">
        <v>29.9</v>
      </c>
      <c r="H65" s="23" t="n">
        <f aca="false">G65/B65</f>
        <v>29.9</v>
      </c>
      <c r="I65" s="10" t="s">
        <v>472</v>
      </c>
      <c r="J65" s="2"/>
    </row>
    <row r="66" customFormat="false" ht="15" hidden="false" customHeight="false" outlineLevel="0" collapsed="false">
      <c r="A66" s="60" t="n">
        <v>10</v>
      </c>
      <c r="B66" s="57" t="n">
        <v>4</v>
      </c>
      <c r="C66" s="6" t="s">
        <v>473</v>
      </c>
      <c r="D66" s="10" t="s">
        <v>474</v>
      </c>
      <c r="E66" s="10" t="s">
        <v>180</v>
      </c>
      <c r="F66" s="10" t="s">
        <v>410</v>
      </c>
      <c r="G66" s="62" t="n">
        <v>179.9</v>
      </c>
      <c r="H66" s="23" t="n">
        <f aca="false">G66/B66</f>
        <v>44.975</v>
      </c>
      <c r="I66" s="10" t="s">
        <v>475</v>
      </c>
      <c r="J66" s="2"/>
    </row>
    <row r="67" customFormat="false" ht="30" hidden="false" customHeight="true" outlineLevel="0" collapsed="false">
      <c r="A67" s="38" t="s">
        <v>476</v>
      </c>
      <c r="B67" s="38"/>
      <c r="C67" s="38"/>
      <c r="D67" s="38"/>
      <c r="E67" s="38"/>
      <c r="F67" s="38"/>
      <c r="G67" s="38"/>
      <c r="H67" s="38"/>
      <c r="I67" s="38"/>
      <c r="J67" s="38"/>
    </row>
  </sheetData>
  <mergeCells count="1">
    <mergeCell ref="A67:J67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Kits de camisetas · Rev. 02 · Blumenau, outubro de 2026&amp;R&amp;8 &amp;A · 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2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477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478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6" t="s">
        <v>479</v>
      </c>
      <c r="B4" s="13" t="n">
        <v>1200</v>
      </c>
      <c r="C4" s="2"/>
      <c r="D4" s="2"/>
      <c r="E4" s="2"/>
      <c r="F4" s="2"/>
      <c r="G4" s="2"/>
      <c r="H4" s="2"/>
      <c r="I4" s="2"/>
      <c r="J4" s="2"/>
      <c r="K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15" hidden="false" customHeight="false" outlineLevel="0" collapsed="false">
      <c r="A6" s="4" t="s">
        <v>480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customFormat="false" ht="19.5" hidden="false" customHeight="true" outlineLevel="0" collapsed="false">
      <c r="A7" s="31" t="s">
        <v>481</v>
      </c>
      <c r="B7" s="32" t="s">
        <v>482</v>
      </c>
      <c r="C7" s="32" t="s">
        <v>483</v>
      </c>
      <c r="D7" s="32" t="s">
        <v>246</v>
      </c>
      <c r="E7" s="32"/>
      <c r="F7" s="32"/>
      <c r="G7" s="32"/>
      <c r="H7" s="32"/>
      <c r="I7" s="32"/>
      <c r="J7" s="32"/>
      <c r="K7" s="32" t="s">
        <v>484</v>
      </c>
    </row>
    <row r="8" customFormat="false" ht="15" hidden="false" customHeight="false" outlineLevel="0" collapsed="false">
      <c r="A8" s="6" t="s">
        <v>16</v>
      </c>
      <c r="B8" s="10" t="s">
        <v>485</v>
      </c>
      <c r="C8" s="63" t="s">
        <v>486</v>
      </c>
      <c r="D8" s="64" t="s">
        <v>487</v>
      </c>
      <c r="E8" s="64"/>
      <c r="F8" s="64"/>
      <c r="G8" s="64"/>
      <c r="H8" s="64"/>
      <c r="I8" s="64"/>
      <c r="J8" s="64"/>
      <c r="K8" s="10" t="s">
        <v>488</v>
      </c>
    </row>
    <row r="9" customFormat="false" ht="15" hidden="false" customHeight="false" outlineLevel="0" collapsed="false">
      <c r="A9" s="6" t="s">
        <v>489</v>
      </c>
      <c r="B9" s="10" t="s">
        <v>485</v>
      </c>
      <c r="C9" s="65" t="s">
        <v>490</v>
      </c>
      <c r="D9" s="64" t="s">
        <v>491</v>
      </c>
      <c r="E9" s="64"/>
      <c r="F9" s="64"/>
      <c r="G9" s="64"/>
      <c r="H9" s="64"/>
      <c r="I9" s="64"/>
      <c r="J9" s="64"/>
      <c r="K9" s="10" t="s">
        <v>492</v>
      </c>
    </row>
    <row r="10" customFormat="false" ht="15" hidden="false" customHeight="false" outlineLevel="0" collapsed="false">
      <c r="A10" s="6" t="s">
        <v>493</v>
      </c>
      <c r="B10" s="10" t="s">
        <v>485</v>
      </c>
      <c r="C10" s="66" t="s">
        <v>494</v>
      </c>
      <c r="D10" s="64" t="s">
        <v>495</v>
      </c>
      <c r="E10" s="64"/>
      <c r="F10" s="64"/>
      <c r="G10" s="64"/>
      <c r="H10" s="64"/>
      <c r="I10" s="64"/>
      <c r="J10" s="64"/>
      <c r="K10" s="10" t="s">
        <v>496</v>
      </c>
    </row>
    <row r="11" customFormat="false" ht="15" hidden="false" customHeight="false" outlineLevel="0" collapsed="false">
      <c r="A11" s="6" t="s">
        <v>497</v>
      </c>
      <c r="B11" s="10" t="s">
        <v>485</v>
      </c>
      <c r="C11" s="67" t="s">
        <v>498</v>
      </c>
      <c r="D11" s="64" t="s">
        <v>487</v>
      </c>
      <c r="E11" s="64"/>
      <c r="F11" s="64"/>
      <c r="G11" s="64"/>
      <c r="H11" s="64"/>
      <c r="I11" s="64"/>
      <c r="J11" s="64"/>
      <c r="K11" s="10" t="s">
        <v>499</v>
      </c>
    </row>
    <row r="12" customFormat="false" ht="15" hidden="false" customHeight="false" outlineLevel="0" collapsed="false">
      <c r="A12" s="6" t="s">
        <v>500</v>
      </c>
      <c r="B12" s="10" t="s">
        <v>501</v>
      </c>
      <c r="C12" s="68" t="s">
        <v>502</v>
      </c>
      <c r="D12" s="64" t="s">
        <v>503</v>
      </c>
      <c r="E12" s="64"/>
      <c r="F12" s="64"/>
      <c r="G12" s="64"/>
      <c r="H12" s="64"/>
      <c r="I12" s="64"/>
      <c r="J12" s="64"/>
      <c r="K12" s="10" t="s">
        <v>504</v>
      </c>
    </row>
    <row r="13" customFormat="false" ht="15" hidden="false" customHeight="false" outlineLevel="0" collapsed="false">
      <c r="A13" s="6" t="s">
        <v>505</v>
      </c>
      <c r="B13" s="10" t="s">
        <v>501</v>
      </c>
      <c r="C13" s="69" t="s">
        <v>506</v>
      </c>
      <c r="D13" s="64" t="s">
        <v>507</v>
      </c>
      <c r="E13" s="64"/>
      <c r="F13" s="64"/>
      <c r="G13" s="64"/>
      <c r="H13" s="64"/>
      <c r="I13" s="64"/>
      <c r="J13" s="64"/>
      <c r="K13" s="10" t="s">
        <v>508</v>
      </c>
    </row>
    <row r="14" customFormat="false" ht="15" hidden="false" customHeight="false" outlineLevel="0" collapsed="false">
      <c r="A14" s="6" t="s">
        <v>509</v>
      </c>
      <c r="B14" s="10" t="s">
        <v>501</v>
      </c>
      <c r="C14" s="70" t="s">
        <v>510</v>
      </c>
      <c r="D14" s="64" t="s">
        <v>511</v>
      </c>
      <c r="E14" s="64"/>
      <c r="F14" s="64"/>
      <c r="G14" s="64"/>
      <c r="H14" s="64"/>
      <c r="I14" s="64"/>
      <c r="J14" s="64"/>
      <c r="K14" s="10" t="s">
        <v>512</v>
      </c>
    </row>
    <row r="15" customFormat="false" ht="15" hidden="false" customHeight="false" outlineLevel="0" collapsed="false">
      <c r="A15" s="6" t="s">
        <v>513</v>
      </c>
      <c r="B15" s="10" t="s">
        <v>501</v>
      </c>
      <c r="C15" s="71" t="s">
        <v>514</v>
      </c>
      <c r="D15" s="64" t="s">
        <v>515</v>
      </c>
      <c r="E15" s="64"/>
      <c r="F15" s="64"/>
      <c r="G15" s="64"/>
      <c r="H15" s="64"/>
      <c r="I15" s="64"/>
      <c r="J15" s="64"/>
      <c r="K15" s="10" t="s">
        <v>516</v>
      </c>
    </row>
    <row r="16" customFormat="false" ht="27.75" hidden="false" customHeight="true" outlineLevel="0" collapsed="false">
      <c r="A16" s="38" t="s">
        <v>517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4" t="s">
        <v>518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customFormat="false" ht="30" hidden="false" customHeight="true" outlineLevel="0" collapsed="false">
      <c r="A19" s="31" t="s">
        <v>211</v>
      </c>
      <c r="B19" s="32" t="s">
        <v>16</v>
      </c>
      <c r="C19" s="32" t="s">
        <v>489</v>
      </c>
      <c r="D19" s="32" t="s">
        <v>493</v>
      </c>
      <c r="E19" s="32" t="s">
        <v>497</v>
      </c>
      <c r="F19" s="32" t="s">
        <v>500</v>
      </c>
      <c r="G19" s="32" t="s">
        <v>505</v>
      </c>
      <c r="H19" s="32" t="s">
        <v>509</v>
      </c>
      <c r="I19" s="32" t="s">
        <v>513</v>
      </c>
      <c r="J19" s="32" t="s">
        <v>245</v>
      </c>
      <c r="K19" s="32" t="s">
        <v>519</v>
      </c>
    </row>
    <row r="20" customFormat="false" ht="15" hidden="false" customHeight="false" outlineLevel="0" collapsed="false">
      <c r="A20" s="6" t="s">
        <v>520</v>
      </c>
      <c r="B20" s="58" t="n">
        <v>1</v>
      </c>
      <c r="C20" s="58" t="n">
        <v>1</v>
      </c>
      <c r="D20" s="58" t="n">
        <v>1</v>
      </c>
      <c r="E20" s="58" t="n">
        <v>0</v>
      </c>
      <c r="F20" s="58" t="n">
        <v>0</v>
      </c>
      <c r="G20" s="58" t="n">
        <v>0</v>
      </c>
      <c r="H20" s="58" t="n">
        <v>0</v>
      </c>
      <c r="I20" s="58" t="n">
        <v>0</v>
      </c>
      <c r="J20" s="20" t="n">
        <f aca="false">SUM(B20:I20)</f>
        <v>3</v>
      </c>
      <c r="K20" s="24" t="n">
        <v>0.35</v>
      </c>
    </row>
    <row r="21" customFormat="false" ht="15" hidden="false" customHeight="false" outlineLevel="0" collapsed="false">
      <c r="A21" s="6" t="s">
        <v>521</v>
      </c>
      <c r="B21" s="58" t="n">
        <v>3</v>
      </c>
      <c r="C21" s="58" t="n">
        <v>0</v>
      </c>
      <c r="D21" s="58" t="n">
        <v>0</v>
      </c>
      <c r="E21" s="58" t="n">
        <v>0</v>
      </c>
      <c r="F21" s="58" t="n">
        <v>0</v>
      </c>
      <c r="G21" s="58" t="n">
        <v>0</v>
      </c>
      <c r="H21" s="58" t="n">
        <v>0</v>
      </c>
      <c r="I21" s="58" t="n">
        <v>0</v>
      </c>
      <c r="J21" s="20" t="n">
        <f aca="false">SUM(B21:I21)</f>
        <v>3</v>
      </c>
      <c r="K21" s="24" t="n">
        <v>0.2</v>
      </c>
    </row>
    <row r="22" customFormat="false" ht="15" hidden="false" customHeight="false" outlineLevel="0" collapsed="false">
      <c r="A22" s="6" t="s">
        <v>522</v>
      </c>
      <c r="B22" s="58" t="n">
        <v>1</v>
      </c>
      <c r="C22" s="58" t="n">
        <v>0</v>
      </c>
      <c r="D22" s="58" t="n">
        <v>0</v>
      </c>
      <c r="E22" s="58" t="n">
        <v>1</v>
      </c>
      <c r="F22" s="58" t="n">
        <v>1</v>
      </c>
      <c r="G22" s="58" t="n">
        <v>0</v>
      </c>
      <c r="H22" s="58" t="n">
        <v>0</v>
      </c>
      <c r="I22" s="58" t="n">
        <v>0</v>
      </c>
      <c r="J22" s="20" t="n">
        <f aca="false">SUM(B22:I22)</f>
        <v>3</v>
      </c>
      <c r="K22" s="24" t="n">
        <v>0.2</v>
      </c>
    </row>
    <row r="23" customFormat="false" ht="15" hidden="false" customHeight="false" outlineLevel="0" collapsed="false">
      <c r="A23" s="6" t="s">
        <v>501</v>
      </c>
      <c r="B23" s="58" t="n">
        <v>0</v>
      </c>
      <c r="C23" s="58" t="n">
        <v>0</v>
      </c>
      <c r="D23" s="58" t="n">
        <v>0</v>
      </c>
      <c r="E23" s="58" t="n">
        <v>0</v>
      </c>
      <c r="F23" s="58" t="n">
        <v>0</v>
      </c>
      <c r="G23" s="58" t="n">
        <v>1</v>
      </c>
      <c r="H23" s="58" t="n">
        <v>1</v>
      </c>
      <c r="I23" s="58" t="n">
        <v>1</v>
      </c>
      <c r="J23" s="20" t="n">
        <f aca="false">SUM(B23:I23)</f>
        <v>3</v>
      </c>
      <c r="K23" s="24" t="n">
        <v>0.15</v>
      </c>
    </row>
    <row r="24" customFormat="false" ht="15" hidden="false" customHeight="false" outlineLevel="0" collapsed="false">
      <c r="A24" s="6" t="s">
        <v>523</v>
      </c>
      <c r="B24" s="58" t="n">
        <v>0</v>
      </c>
      <c r="C24" s="58" t="n">
        <v>3</v>
      </c>
      <c r="D24" s="58" t="n">
        <v>0</v>
      </c>
      <c r="E24" s="58" t="n">
        <v>0</v>
      </c>
      <c r="F24" s="58" t="n">
        <v>0</v>
      </c>
      <c r="G24" s="58" t="n">
        <v>0</v>
      </c>
      <c r="H24" s="58" t="n">
        <v>0</v>
      </c>
      <c r="I24" s="58" t="n">
        <v>0</v>
      </c>
      <c r="J24" s="20" t="n">
        <f aca="false">SUM(B24:I24)</f>
        <v>3</v>
      </c>
      <c r="K24" s="24" t="n">
        <v>0.1</v>
      </c>
    </row>
    <row r="25" customFormat="false" ht="15" hidden="false" customHeight="false" outlineLevel="0" collapsed="false">
      <c r="A25" s="6" t="s">
        <v>524</v>
      </c>
      <c r="B25" s="2"/>
      <c r="C25" s="2"/>
      <c r="D25" s="2"/>
      <c r="E25" s="2"/>
      <c r="F25" s="2"/>
      <c r="G25" s="2"/>
      <c r="H25" s="2"/>
      <c r="I25" s="2"/>
      <c r="J25" s="2"/>
      <c r="K25" s="59" t="n">
        <f aca="false">SUM(K20:K24)</f>
        <v>1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4" t="s">
        <v>525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customFormat="false" ht="19.5" hidden="false" customHeight="true" outlineLevel="0" collapsed="false">
      <c r="A28" s="31" t="s">
        <v>211</v>
      </c>
      <c r="B28" s="32" t="s">
        <v>526</v>
      </c>
      <c r="C28" s="32" t="s">
        <v>527</v>
      </c>
      <c r="D28" s="32" t="s">
        <v>528</v>
      </c>
      <c r="E28" s="32" t="s">
        <v>529</v>
      </c>
      <c r="F28" s="32" t="s">
        <v>530</v>
      </c>
      <c r="G28" s="32" t="s">
        <v>524</v>
      </c>
      <c r="H28" s="2"/>
      <c r="I28" s="2"/>
      <c r="J28" s="2"/>
      <c r="K28" s="2"/>
    </row>
    <row r="29" customFormat="false" ht="15" hidden="false" customHeight="false" outlineLevel="0" collapsed="false">
      <c r="A29" s="6" t="s">
        <v>531</v>
      </c>
      <c r="B29" s="14" t="n">
        <f aca="false">'Grade de Medidas'!N5</f>
        <v>180</v>
      </c>
      <c r="C29" s="14" t="n">
        <f aca="false">'Grade de Medidas'!N6</f>
        <v>360</v>
      </c>
      <c r="D29" s="14" t="n">
        <f aca="false">'Grade de Medidas'!N7</f>
        <v>360</v>
      </c>
      <c r="E29" s="14" t="n">
        <f aca="false">'Grade de Medidas'!N8</f>
        <v>204</v>
      </c>
      <c r="F29" s="14" t="n">
        <f aca="false">'Grade de Medidas'!N9</f>
        <v>96</v>
      </c>
      <c r="G29" s="60" t="n">
        <f aca="false">SUM(B29:F29)</f>
        <v>1200</v>
      </c>
      <c r="H29" s="2"/>
      <c r="I29" s="2"/>
      <c r="J29" s="2"/>
      <c r="K29" s="2"/>
    </row>
    <row r="30" customFormat="false" ht="15" hidden="false" customHeight="false" outlineLevel="0" collapsed="false">
      <c r="A30" s="10" t="s">
        <v>520</v>
      </c>
      <c r="B30" s="20" t="n">
        <f aca="false">ROUND(B$29*$K20,0)</f>
        <v>63</v>
      </c>
      <c r="C30" s="20" t="n">
        <f aca="false">ROUND(C$29*$K20,0)</f>
        <v>126</v>
      </c>
      <c r="D30" s="20" t="n">
        <f aca="false">ROUND(D$29*$K20,0)</f>
        <v>126</v>
      </c>
      <c r="E30" s="20" t="n">
        <f aca="false">ROUND(E$29*$K20,0)</f>
        <v>71</v>
      </c>
      <c r="F30" s="20" t="n">
        <f aca="false">ROUND(F$29*$K20,0)</f>
        <v>34</v>
      </c>
      <c r="G30" s="60" t="n">
        <f aca="false">SUM(B30:F30)</f>
        <v>420</v>
      </c>
      <c r="H30" s="2"/>
      <c r="I30" s="2"/>
      <c r="J30" s="2"/>
      <c r="K30" s="2"/>
    </row>
    <row r="31" customFormat="false" ht="15" hidden="false" customHeight="false" outlineLevel="0" collapsed="false">
      <c r="A31" s="10" t="s">
        <v>521</v>
      </c>
      <c r="B31" s="20" t="n">
        <f aca="false">ROUND(B$29*$K21,0)</f>
        <v>36</v>
      </c>
      <c r="C31" s="20" t="n">
        <f aca="false">ROUND(C$29*$K21,0)</f>
        <v>72</v>
      </c>
      <c r="D31" s="20" t="n">
        <f aca="false">ROUND(D$29*$K21,0)</f>
        <v>72</v>
      </c>
      <c r="E31" s="20" t="n">
        <f aca="false">ROUND(E$29*$K21,0)</f>
        <v>41</v>
      </c>
      <c r="F31" s="20" t="n">
        <f aca="false">ROUND(F$29*$K21,0)</f>
        <v>19</v>
      </c>
      <c r="G31" s="60" t="n">
        <f aca="false">SUM(B31:F31)</f>
        <v>240</v>
      </c>
      <c r="H31" s="2"/>
      <c r="I31" s="2"/>
      <c r="J31" s="2"/>
      <c r="K31" s="2"/>
    </row>
    <row r="32" customFormat="false" ht="15" hidden="false" customHeight="false" outlineLevel="0" collapsed="false">
      <c r="A32" s="10" t="s">
        <v>522</v>
      </c>
      <c r="B32" s="20" t="n">
        <f aca="false">ROUND(B$29*$K22,0)</f>
        <v>36</v>
      </c>
      <c r="C32" s="20" t="n">
        <f aca="false">ROUND(C$29*$K22,0)</f>
        <v>72</v>
      </c>
      <c r="D32" s="20" t="n">
        <f aca="false">ROUND(D$29*$K22,0)</f>
        <v>72</v>
      </c>
      <c r="E32" s="20" t="n">
        <f aca="false">ROUND(E$29*$K22,0)</f>
        <v>41</v>
      </c>
      <c r="F32" s="20" t="n">
        <f aca="false">ROUND(F$29*$K22,0)</f>
        <v>19</v>
      </c>
      <c r="G32" s="60" t="n">
        <f aca="false">SUM(B32:F32)</f>
        <v>240</v>
      </c>
      <c r="H32" s="2"/>
      <c r="I32" s="2"/>
      <c r="J32" s="2"/>
      <c r="K32" s="2"/>
    </row>
    <row r="33" customFormat="false" ht="15" hidden="false" customHeight="false" outlineLevel="0" collapsed="false">
      <c r="A33" s="10" t="s">
        <v>501</v>
      </c>
      <c r="B33" s="20" t="n">
        <f aca="false">ROUND(B$29*$K23,0)</f>
        <v>27</v>
      </c>
      <c r="C33" s="20" t="n">
        <f aca="false">ROUND(C$29*$K23,0)</f>
        <v>54</v>
      </c>
      <c r="D33" s="20" t="n">
        <f aca="false">ROUND(D$29*$K23,0)</f>
        <v>54</v>
      </c>
      <c r="E33" s="20" t="n">
        <f aca="false">ROUND(E$29*$K23,0)</f>
        <v>31</v>
      </c>
      <c r="F33" s="20" t="n">
        <f aca="false">ROUND(F$29*$K23,0)</f>
        <v>14</v>
      </c>
      <c r="G33" s="60" t="n">
        <f aca="false">SUM(B33:F33)</f>
        <v>180</v>
      </c>
      <c r="H33" s="2"/>
      <c r="I33" s="2"/>
      <c r="J33" s="2"/>
      <c r="K33" s="2"/>
    </row>
    <row r="34" customFormat="false" ht="15" hidden="false" customHeight="false" outlineLevel="0" collapsed="false">
      <c r="A34" s="10" t="s">
        <v>523</v>
      </c>
      <c r="B34" s="20" t="n">
        <f aca="false">ROUND(B$29*$K24,0)</f>
        <v>18</v>
      </c>
      <c r="C34" s="20" t="n">
        <f aca="false">ROUND(C$29*$K24,0)</f>
        <v>36</v>
      </c>
      <c r="D34" s="20" t="n">
        <f aca="false">ROUND(D$29*$K24,0)</f>
        <v>36</v>
      </c>
      <c r="E34" s="20" t="n">
        <f aca="false">ROUND(E$29*$K24,0)</f>
        <v>20</v>
      </c>
      <c r="F34" s="20" t="n">
        <f aca="false">ROUND(F$29*$K24,0)</f>
        <v>10</v>
      </c>
      <c r="G34" s="60" t="n">
        <f aca="false">SUM(B34:F34)</f>
        <v>120</v>
      </c>
      <c r="H34" s="2"/>
      <c r="I34" s="2"/>
      <c r="J34" s="2"/>
      <c r="K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15" hidden="false" customHeight="false" outlineLevel="0" collapsed="false">
      <c r="A36" s="4" t="s">
        <v>532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customFormat="false" ht="19.5" hidden="false" customHeight="true" outlineLevel="0" collapsed="false">
      <c r="A37" s="31" t="s">
        <v>481</v>
      </c>
      <c r="B37" s="32" t="s">
        <v>526</v>
      </c>
      <c r="C37" s="32" t="s">
        <v>527</v>
      </c>
      <c r="D37" s="32" t="s">
        <v>528</v>
      </c>
      <c r="E37" s="32" t="s">
        <v>529</v>
      </c>
      <c r="F37" s="32" t="s">
        <v>530</v>
      </c>
      <c r="G37" s="32" t="s">
        <v>524</v>
      </c>
      <c r="H37" s="32" t="s">
        <v>533</v>
      </c>
      <c r="I37" s="2"/>
      <c r="J37" s="2"/>
      <c r="K37" s="2"/>
    </row>
    <row r="38" customFormat="false" ht="15" hidden="false" customHeight="false" outlineLevel="0" collapsed="false">
      <c r="A38" s="6" t="s">
        <v>16</v>
      </c>
      <c r="B38" s="20" t="n">
        <f aca="false">SUMPRODUCT(B$30:B$34,$B$20:$B$24)</f>
        <v>207</v>
      </c>
      <c r="C38" s="20" t="n">
        <f aca="false">SUMPRODUCT(C$30:C$34,$B$20:$B$24)</f>
        <v>414</v>
      </c>
      <c r="D38" s="20" t="n">
        <f aca="false">SUMPRODUCT(D$30:D$34,$B$20:$B$24)</f>
        <v>414</v>
      </c>
      <c r="E38" s="20" t="n">
        <f aca="false">SUMPRODUCT(E$30:E$34,$B$20:$B$24)</f>
        <v>235</v>
      </c>
      <c r="F38" s="20" t="n">
        <f aca="false">SUMPRODUCT(F$30:F$34,$B$20:$B$24)</f>
        <v>110</v>
      </c>
      <c r="G38" s="60" t="n">
        <f aca="false">SUM(B38:F38)</f>
        <v>1380</v>
      </c>
      <c r="H38" s="46" t="n">
        <f aca="false">G38/$G$46</f>
        <v>0.383333333333333</v>
      </c>
      <c r="I38" s="2"/>
      <c r="J38" s="2"/>
      <c r="K38" s="2"/>
    </row>
    <row r="39" customFormat="false" ht="15" hidden="false" customHeight="false" outlineLevel="0" collapsed="false">
      <c r="A39" s="6" t="s">
        <v>489</v>
      </c>
      <c r="B39" s="20" t="n">
        <f aca="false">SUMPRODUCT(B$30:B$34,$C$20:$C$24)</f>
        <v>117</v>
      </c>
      <c r="C39" s="20" t="n">
        <f aca="false">SUMPRODUCT(C$30:C$34,$C$20:$C$24)</f>
        <v>234</v>
      </c>
      <c r="D39" s="20" t="n">
        <f aca="false">SUMPRODUCT(D$30:D$34,$C$20:$C$24)</f>
        <v>234</v>
      </c>
      <c r="E39" s="20" t="n">
        <f aca="false">SUMPRODUCT(E$30:E$34,$C$20:$C$24)</f>
        <v>131</v>
      </c>
      <c r="F39" s="20" t="n">
        <f aca="false">SUMPRODUCT(F$30:F$34,$C$20:$C$24)</f>
        <v>64</v>
      </c>
      <c r="G39" s="60" t="n">
        <f aca="false">SUM(B39:F39)</f>
        <v>780</v>
      </c>
      <c r="H39" s="46" t="n">
        <f aca="false">G39/$G$46</f>
        <v>0.216666666666667</v>
      </c>
      <c r="I39" s="2"/>
      <c r="J39" s="2"/>
      <c r="K39" s="2"/>
    </row>
    <row r="40" customFormat="false" ht="15" hidden="false" customHeight="false" outlineLevel="0" collapsed="false">
      <c r="A40" s="6" t="s">
        <v>493</v>
      </c>
      <c r="B40" s="20" t="n">
        <f aca="false">SUMPRODUCT(B$30:B$34,$D$20:$D$24)</f>
        <v>63</v>
      </c>
      <c r="C40" s="20" t="n">
        <f aca="false">SUMPRODUCT(C$30:C$34,$D$20:$D$24)</f>
        <v>126</v>
      </c>
      <c r="D40" s="20" t="n">
        <f aca="false">SUMPRODUCT(D$30:D$34,$D$20:$D$24)</f>
        <v>126</v>
      </c>
      <c r="E40" s="20" t="n">
        <f aca="false">SUMPRODUCT(E$30:E$34,$D$20:$D$24)</f>
        <v>71</v>
      </c>
      <c r="F40" s="20" t="n">
        <f aca="false">SUMPRODUCT(F$30:F$34,$D$20:$D$24)</f>
        <v>34</v>
      </c>
      <c r="G40" s="60" t="n">
        <f aca="false">SUM(B40:F40)</f>
        <v>420</v>
      </c>
      <c r="H40" s="46" t="n">
        <f aca="false">G40/$G$46</f>
        <v>0.116666666666667</v>
      </c>
      <c r="I40" s="2"/>
      <c r="J40" s="2"/>
      <c r="K40" s="2"/>
    </row>
    <row r="41" customFormat="false" ht="15" hidden="false" customHeight="false" outlineLevel="0" collapsed="false">
      <c r="A41" s="6" t="s">
        <v>497</v>
      </c>
      <c r="B41" s="20" t="n">
        <f aca="false">SUMPRODUCT(B$30:B$34,$E$20:$E$24)</f>
        <v>36</v>
      </c>
      <c r="C41" s="20" t="n">
        <f aca="false">SUMPRODUCT(C$30:C$34,$E$20:$E$24)</f>
        <v>72</v>
      </c>
      <c r="D41" s="20" t="n">
        <f aca="false">SUMPRODUCT(D$30:D$34,$E$20:$E$24)</f>
        <v>72</v>
      </c>
      <c r="E41" s="20" t="n">
        <f aca="false">SUMPRODUCT(E$30:E$34,$E$20:$E$24)</f>
        <v>41</v>
      </c>
      <c r="F41" s="20" t="n">
        <f aca="false">SUMPRODUCT(F$30:F$34,$E$20:$E$24)</f>
        <v>19</v>
      </c>
      <c r="G41" s="60" t="n">
        <f aca="false">SUM(B41:F41)</f>
        <v>240</v>
      </c>
      <c r="H41" s="46" t="n">
        <f aca="false">G41/$G$46</f>
        <v>0.0666666666666667</v>
      </c>
      <c r="I41" s="2"/>
      <c r="J41" s="2"/>
      <c r="K41" s="2"/>
    </row>
    <row r="42" customFormat="false" ht="15" hidden="false" customHeight="false" outlineLevel="0" collapsed="false">
      <c r="A42" s="6" t="s">
        <v>500</v>
      </c>
      <c r="B42" s="20" t="n">
        <f aca="false">SUMPRODUCT(B$30:B$34,$F$20:$F$24)</f>
        <v>36</v>
      </c>
      <c r="C42" s="20" t="n">
        <f aca="false">SUMPRODUCT(C$30:C$34,$F$20:$F$24)</f>
        <v>72</v>
      </c>
      <c r="D42" s="20" t="n">
        <f aca="false">SUMPRODUCT(D$30:D$34,$F$20:$F$24)</f>
        <v>72</v>
      </c>
      <c r="E42" s="20" t="n">
        <f aca="false">SUMPRODUCT(E$30:E$34,$F$20:$F$24)</f>
        <v>41</v>
      </c>
      <c r="F42" s="20" t="n">
        <f aca="false">SUMPRODUCT(F$30:F$34,$F$20:$F$24)</f>
        <v>19</v>
      </c>
      <c r="G42" s="60" t="n">
        <f aca="false">SUM(B42:F42)</f>
        <v>240</v>
      </c>
      <c r="H42" s="46" t="n">
        <f aca="false">G42/$G$46</f>
        <v>0.0666666666666667</v>
      </c>
      <c r="I42" s="2"/>
      <c r="J42" s="2"/>
      <c r="K42" s="2"/>
    </row>
    <row r="43" customFormat="false" ht="15" hidden="false" customHeight="false" outlineLevel="0" collapsed="false">
      <c r="A43" s="6" t="s">
        <v>505</v>
      </c>
      <c r="B43" s="20" t="n">
        <f aca="false">SUMPRODUCT(B$30:B$34,$G$20:$G$24)</f>
        <v>27</v>
      </c>
      <c r="C43" s="20" t="n">
        <f aca="false">SUMPRODUCT(C$30:C$34,$G$20:$G$24)</f>
        <v>54</v>
      </c>
      <c r="D43" s="20" t="n">
        <f aca="false">SUMPRODUCT(D$30:D$34,$G$20:$G$24)</f>
        <v>54</v>
      </c>
      <c r="E43" s="20" t="n">
        <f aca="false">SUMPRODUCT(E$30:E$34,$G$20:$G$24)</f>
        <v>31</v>
      </c>
      <c r="F43" s="20" t="n">
        <f aca="false">SUMPRODUCT(F$30:F$34,$G$20:$G$24)</f>
        <v>14</v>
      </c>
      <c r="G43" s="60" t="n">
        <f aca="false">SUM(B43:F43)</f>
        <v>180</v>
      </c>
      <c r="H43" s="46" t="n">
        <f aca="false">G43/$G$46</f>
        <v>0.05</v>
      </c>
      <c r="I43" s="2"/>
      <c r="J43" s="2"/>
      <c r="K43" s="2"/>
    </row>
    <row r="44" customFormat="false" ht="15" hidden="false" customHeight="false" outlineLevel="0" collapsed="false">
      <c r="A44" s="6" t="s">
        <v>509</v>
      </c>
      <c r="B44" s="20" t="n">
        <f aca="false">SUMPRODUCT(B$30:B$34,$H$20:$H$24)</f>
        <v>27</v>
      </c>
      <c r="C44" s="20" t="n">
        <f aca="false">SUMPRODUCT(C$30:C$34,$H$20:$H$24)</f>
        <v>54</v>
      </c>
      <c r="D44" s="20" t="n">
        <f aca="false">SUMPRODUCT(D$30:D$34,$H$20:$H$24)</f>
        <v>54</v>
      </c>
      <c r="E44" s="20" t="n">
        <f aca="false">SUMPRODUCT(E$30:E$34,$H$20:$H$24)</f>
        <v>31</v>
      </c>
      <c r="F44" s="20" t="n">
        <f aca="false">SUMPRODUCT(F$30:F$34,$H$20:$H$24)</f>
        <v>14</v>
      </c>
      <c r="G44" s="60" t="n">
        <f aca="false">SUM(B44:F44)</f>
        <v>180</v>
      </c>
      <c r="H44" s="46" t="n">
        <f aca="false">G44/$G$46</f>
        <v>0.05</v>
      </c>
      <c r="I44" s="2"/>
      <c r="J44" s="2"/>
      <c r="K44" s="2"/>
    </row>
    <row r="45" customFormat="false" ht="15" hidden="false" customHeight="false" outlineLevel="0" collapsed="false">
      <c r="A45" s="6" t="s">
        <v>513</v>
      </c>
      <c r="B45" s="20" t="n">
        <f aca="false">SUMPRODUCT(B$30:B$34,$I$20:$I$24)</f>
        <v>27</v>
      </c>
      <c r="C45" s="20" t="n">
        <f aca="false">SUMPRODUCT(C$30:C$34,$I$20:$I$24)</f>
        <v>54</v>
      </c>
      <c r="D45" s="20" t="n">
        <f aca="false">SUMPRODUCT(D$30:D$34,$I$20:$I$24)</f>
        <v>54</v>
      </c>
      <c r="E45" s="20" t="n">
        <f aca="false">SUMPRODUCT(E$30:E$34,$I$20:$I$24)</f>
        <v>31</v>
      </c>
      <c r="F45" s="20" t="n">
        <f aca="false">SUMPRODUCT(F$30:F$34,$I$20:$I$24)</f>
        <v>14</v>
      </c>
      <c r="G45" s="60" t="n">
        <f aca="false">SUM(B45:F45)</f>
        <v>180</v>
      </c>
      <c r="H45" s="46" t="n">
        <f aca="false">G45/$G$46</f>
        <v>0.05</v>
      </c>
      <c r="I45" s="2"/>
      <c r="J45" s="2"/>
      <c r="K45" s="2"/>
    </row>
    <row r="46" customFormat="false" ht="15" hidden="false" customHeight="false" outlineLevel="0" collapsed="false">
      <c r="A46" s="6" t="s">
        <v>534</v>
      </c>
      <c r="B46" s="60" t="n">
        <f aca="false">SUM(B38:B45)</f>
        <v>540</v>
      </c>
      <c r="C46" s="60" t="n">
        <f aca="false">SUM(C38:C45)</f>
        <v>1080</v>
      </c>
      <c r="D46" s="60" t="n">
        <f aca="false">SUM(D38:D45)</f>
        <v>1080</v>
      </c>
      <c r="E46" s="60" t="n">
        <f aca="false">SUM(E38:E45)</f>
        <v>612</v>
      </c>
      <c r="F46" s="60" t="n">
        <f aca="false">SUM(F38:F45)</f>
        <v>288</v>
      </c>
      <c r="G46" s="60" t="n">
        <f aca="false">SUM(G38:G45)</f>
        <v>3600</v>
      </c>
      <c r="H46" s="59" t="n">
        <f aca="false">SUM(H38:H45)</f>
        <v>1</v>
      </c>
      <c r="I46" s="2"/>
      <c r="J46" s="2"/>
      <c r="K46" s="2"/>
    </row>
  </sheetData>
  <mergeCells count="9">
    <mergeCell ref="D8:J8"/>
    <mergeCell ref="D9:J9"/>
    <mergeCell ref="D10:J10"/>
    <mergeCell ref="D11:J11"/>
    <mergeCell ref="D12:J12"/>
    <mergeCell ref="D13:J13"/>
    <mergeCell ref="D14:J14"/>
    <mergeCell ref="D15:J15"/>
    <mergeCell ref="A16:K1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Kits de camisetas · Rev. 02 · Blumenau, outubro de 2026&amp;R&amp;8 &amp;A · 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10" min="4" style="0" width="9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4" min="13" style="0" width="11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1" t="s">
        <v>535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536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43.5" hidden="false" customHeight="true" outlineLevel="0" collapsed="false">
      <c r="A4" s="31" t="s">
        <v>537</v>
      </c>
      <c r="B4" s="32" t="s">
        <v>538</v>
      </c>
      <c r="C4" s="32" t="s">
        <v>539</v>
      </c>
      <c r="D4" s="32" t="s">
        <v>540</v>
      </c>
      <c r="E4" s="32" t="s">
        <v>541</v>
      </c>
      <c r="F4" s="32" t="s">
        <v>542</v>
      </c>
      <c r="G4" s="32" t="s">
        <v>543</v>
      </c>
      <c r="H4" s="32" t="s">
        <v>544</v>
      </c>
      <c r="I4" s="32" t="s">
        <v>545</v>
      </c>
      <c r="J4" s="32" t="s">
        <v>528</v>
      </c>
      <c r="K4" s="32" t="s">
        <v>546</v>
      </c>
      <c r="L4" s="32" t="s">
        <v>547</v>
      </c>
      <c r="M4" s="32" t="s">
        <v>548</v>
      </c>
      <c r="N4" s="32" t="s">
        <v>549</v>
      </c>
      <c r="O4" s="32" t="s">
        <v>550</v>
      </c>
    </row>
    <row r="5" customFormat="false" ht="15" hidden="false" customHeight="false" outlineLevel="0" collapsed="false">
      <c r="A5" s="6" t="s">
        <v>526</v>
      </c>
      <c r="B5" s="10" t="s">
        <v>551</v>
      </c>
      <c r="C5" s="58" t="n">
        <v>86</v>
      </c>
      <c r="D5" s="72" t="n">
        <v>50</v>
      </c>
      <c r="E5" s="72" t="n">
        <v>69</v>
      </c>
      <c r="F5" s="72" t="n">
        <v>43</v>
      </c>
      <c r="G5" s="72" t="n">
        <v>19</v>
      </c>
      <c r="H5" s="72" t="n">
        <v>16</v>
      </c>
      <c r="I5" s="72" t="n">
        <v>17</v>
      </c>
      <c r="J5" s="72" t="n">
        <v>9</v>
      </c>
      <c r="K5" s="73" t="n">
        <f aca="false">2*D5-C5</f>
        <v>14</v>
      </c>
      <c r="L5" s="74" t="n">
        <f aca="false">D5*E5/((D$6*E$6+D$7*E$7)/2)</f>
        <v>0.855230540406544</v>
      </c>
      <c r="M5" s="24" t="n">
        <v>0.15</v>
      </c>
      <c r="N5" s="20" t="n">
        <f aca="false">ROUND(Cores!$B$4*M5,0)</f>
        <v>180</v>
      </c>
      <c r="O5" s="20" t="n">
        <f aca="false">N5*3</f>
        <v>540</v>
      </c>
    </row>
    <row r="6" customFormat="false" ht="15" hidden="false" customHeight="false" outlineLevel="0" collapsed="false">
      <c r="A6" s="6" t="s">
        <v>527</v>
      </c>
      <c r="B6" s="10" t="s">
        <v>552</v>
      </c>
      <c r="C6" s="58" t="n">
        <v>94</v>
      </c>
      <c r="D6" s="72" t="n">
        <v>54</v>
      </c>
      <c r="E6" s="72" t="n">
        <v>71</v>
      </c>
      <c r="F6" s="72" t="n">
        <v>45</v>
      </c>
      <c r="G6" s="72" t="n">
        <v>20</v>
      </c>
      <c r="H6" s="72" t="n">
        <v>17</v>
      </c>
      <c r="I6" s="72" t="n">
        <v>17.5</v>
      </c>
      <c r="J6" s="72" t="n">
        <v>9.5</v>
      </c>
      <c r="K6" s="73" t="n">
        <f aca="false">2*D6-C6</f>
        <v>14</v>
      </c>
      <c r="L6" s="74" t="n">
        <f aca="false">D6*E6/((D$6*E$6+D$7*E$7)/2)</f>
        <v>0.950421417947447</v>
      </c>
      <c r="M6" s="24" t="n">
        <v>0.3</v>
      </c>
      <c r="N6" s="20" t="n">
        <f aca="false">ROUND(Cores!$B$4*M6,0)</f>
        <v>360</v>
      </c>
      <c r="O6" s="20" t="n">
        <f aca="false">N6*3</f>
        <v>1080</v>
      </c>
    </row>
    <row r="7" customFormat="false" ht="15" hidden="false" customHeight="false" outlineLevel="0" collapsed="false">
      <c r="A7" s="6" t="s">
        <v>528</v>
      </c>
      <c r="B7" s="10" t="s">
        <v>553</v>
      </c>
      <c r="C7" s="58" t="n">
        <v>102</v>
      </c>
      <c r="D7" s="72" t="n">
        <v>58</v>
      </c>
      <c r="E7" s="72" t="n">
        <v>73</v>
      </c>
      <c r="F7" s="72" t="n">
        <v>47</v>
      </c>
      <c r="G7" s="72" t="n">
        <v>21</v>
      </c>
      <c r="H7" s="72" t="n">
        <v>18</v>
      </c>
      <c r="I7" s="72" t="n">
        <v>18</v>
      </c>
      <c r="J7" s="72" t="n">
        <v>10</v>
      </c>
      <c r="K7" s="73" t="n">
        <f aca="false">2*D7-C7</f>
        <v>14</v>
      </c>
      <c r="L7" s="74" t="n">
        <f aca="false">D7*E7/((D$6*E$6+D$7*E$7)/2)</f>
        <v>1.04957858205255</v>
      </c>
      <c r="M7" s="24" t="n">
        <v>0.3</v>
      </c>
      <c r="N7" s="20" t="n">
        <f aca="false">ROUND(Cores!$B$4*M7,0)</f>
        <v>360</v>
      </c>
      <c r="O7" s="20" t="n">
        <f aca="false">N7*3</f>
        <v>1080</v>
      </c>
    </row>
    <row r="8" customFormat="false" ht="15" hidden="false" customHeight="false" outlineLevel="0" collapsed="false">
      <c r="A8" s="6" t="s">
        <v>529</v>
      </c>
      <c r="B8" s="10" t="s">
        <v>554</v>
      </c>
      <c r="C8" s="58" t="n">
        <v>110</v>
      </c>
      <c r="D8" s="72" t="n">
        <v>62</v>
      </c>
      <c r="E8" s="72" t="n">
        <v>75</v>
      </c>
      <c r="F8" s="72" t="n">
        <v>49</v>
      </c>
      <c r="G8" s="72" t="n">
        <v>22</v>
      </c>
      <c r="H8" s="72" t="n">
        <v>19</v>
      </c>
      <c r="I8" s="72" t="n">
        <v>18.5</v>
      </c>
      <c r="J8" s="72" t="n">
        <v>10.5</v>
      </c>
      <c r="K8" s="73" t="n">
        <f aca="false">2*D8-C8</f>
        <v>14</v>
      </c>
      <c r="L8" s="74" t="n">
        <f aca="false">D8*E8/((D$6*E$6+D$7*E$7)/2)</f>
        <v>1.15270203272186</v>
      </c>
      <c r="M8" s="24" t="n">
        <v>0.17</v>
      </c>
      <c r="N8" s="20" t="n">
        <f aca="false">ROUND(Cores!$B$4*M8,0)</f>
        <v>204</v>
      </c>
      <c r="O8" s="20" t="n">
        <f aca="false">N8*3</f>
        <v>612</v>
      </c>
    </row>
    <row r="9" customFormat="false" ht="15" hidden="false" customHeight="false" outlineLevel="0" collapsed="false">
      <c r="A9" s="6" t="s">
        <v>530</v>
      </c>
      <c r="B9" s="10" t="s">
        <v>555</v>
      </c>
      <c r="C9" s="58" t="n">
        <v>118</v>
      </c>
      <c r="D9" s="72" t="n">
        <v>66</v>
      </c>
      <c r="E9" s="72" t="n">
        <v>77</v>
      </c>
      <c r="F9" s="72" t="n">
        <v>51</v>
      </c>
      <c r="G9" s="72" t="n">
        <v>23</v>
      </c>
      <c r="H9" s="72" t="n">
        <v>20</v>
      </c>
      <c r="I9" s="72" t="n">
        <v>19</v>
      </c>
      <c r="J9" s="72" t="n">
        <v>11</v>
      </c>
      <c r="K9" s="73" t="n">
        <f aca="false">2*D9-C9</f>
        <v>14</v>
      </c>
      <c r="L9" s="74" t="n">
        <f aca="false">D9*E9/((D$6*E$6+D$7*E$7)/2)</f>
        <v>1.25979176995538</v>
      </c>
      <c r="M9" s="24" t="n">
        <v>0.08</v>
      </c>
      <c r="N9" s="20" t="n">
        <f aca="false">ROUND(Cores!$B$4*M9,0)</f>
        <v>96</v>
      </c>
      <c r="O9" s="20" t="n">
        <f aca="false">N9*3</f>
        <v>288</v>
      </c>
    </row>
    <row r="10" customFormat="false" ht="15" hidden="false" customHeight="false" outlineLevel="0" collapsed="false">
      <c r="A10" s="6" t="s">
        <v>524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59" t="n">
        <f aca="false">SUM(M5:M9)</f>
        <v>1</v>
      </c>
      <c r="N10" s="60" t="n">
        <f aca="false">SUM(N5:N9)</f>
        <v>1200</v>
      </c>
      <c r="O10" s="60" t="n">
        <f aca="false">SUM(O5:O9)</f>
        <v>3600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5" hidden="false" customHeight="false" outlineLevel="0" collapsed="false">
      <c r="A12" s="6" t="s">
        <v>556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75" t="n">
        <f aca="false">SUMPRODUCT(M5:M9,L5:L9)</f>
        <v>1.02502726822013</v>
      </c>
      <c r="M12" s="2"/>
      <c r="N12" s="2"/>
      <c r="O12" s="2"/>
    </row>
    <row r="13" customFormat="false" ht="15" hidden="false" customHeight="false" outlineLevel="0" collapsed="false">
      <c r="A13" s="10" t="s">
        <v>557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3" t="n">
        <f aca="false">(L12-1)*'Ficha de Custo'!C8</f>
        <v>0.25828140803173</v>
      </c>
      <c r="M13" s="2"/>
      <c r="N13" s="2"/>
      <c r="O13" s="2"/>
    </row>
    <row r="14" customFormat="false" ht="15" hidden="false" customHeight="false" outlineLevel="0" collapsed="false">
      <c r="A14" s="10" t="s">
        <v>558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3" t="n">
        <f aca="false">(L9-1)*'Ficha de Custo'!C8</f>
        <v>2.68105106593952</v>
      </c>
      <c r="M14" s="2"/>
      <c r="N14" s="2"/>
      <c r="O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30" hidden="false" customHeight="true" outlineLevel="0" collapsed="false">
      <c r="A16" s="38" t="s">
        <v>559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4" t="s">
        <v>560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customFormat="false" ht="19.5" hidden="false" customHeight="true" outlineLevel="0" collapsed="false">
      <c r="A19" s="31" t="s">
        <v>561</v>
      </c>
      <c r="B19" s="32" t="s">
        <v>562</v>
      </c>
      <c r="C19" s="32"/>
      <c r="D19" s="32"/>
      <c r="E19" s="32"/>
      <c r="F19" s="32"/>
      <c r="G19" s="32"/>
      <c r="H19" s="32" t="s">
        <v>563</v>
      </c>
      <c r="I19" s="2"/>
      <c r="J19" s="2"/>
      <c r="K19" s="2"/>
      <c r="L19" s="2"/>
      <c r="M19" s="2"/>
      <c r="N19" s="2"/>
      <c r="O19" s="2"/>
    </row>
    <row r="20" customFormat="false" ht="15" hidden="false" customHeight="false" outlineLevel="0" collapsed="false">
      <c r="A20" s="6" t="s">
        <v>564</v>
      </c>
      <c r="B20" s="64" t="s">
        <v>565</v>
      </c>
      <c r="C20" s="64"/>
      <c r="D20" s="64"/>
      <c r="E20" s="64"/>
      <c r="F20" s="64"/>
      <c r="G20" s="64"/>
      <c r="H20" s="64" t="s">
        <v>566</v>
      </c>
      <c r="I20" s="64"/>
      <c r="J20" s="64"/>
      <c r="K20" s="64"/>
      <c r="L20" s="64"/>
      <c r="M20" s="64"/>
      <c r="N20" s="64"/>
      <c r="O20" s="64"/>
    </row>
    <row r="21" customFormat="false" ht="15" hidden="false" customHeight="false" outlineLevel="0" collapsed="false">
      <c r="A21" s="6" t="s">
        <v>567</v>
      </c>
      <c r="B21" s="64" t="s">
        <v>565</v>
      </c>
      <c r="C21" s="64"/>
      <c r="D21" s="64"/>
      <c r="E21" s="64"/>
      <c r="F21" s="64"/>
      <c r="G21" s="64"/>
      <c r="H21" s="64" t="s">
        <v>568</v>
      </c>
      <c r="I21" s="64"/>
      <c r="J21" s="64"/>
      <c r="K21" s="64"/>
      <c r="L21" s="64"/>
      <c r="M21" s="64"/>
      <c r="N21" s="64"/>
      <c r="O21" s="64"/>
    </row>
    <row r="22" customFormat="false" ht="15" hidden="false" customHeight="false" outlineLevel="0" collapsed="false">
      <c r="A22" s="6" t="s">
        <v>569</v>
      </c>
      <c r="B22" s="64" t="s">
        <v>570</v>
      </c>
      <c r="C22" s="64"/>
      <c r="D22" s="64"/>
      <c r="E22" s="64"/>
      <c r="F22" s="64"/>
      <c r="G22" s="64"/>
      <c r="H22" s="64" t="s">
        <v>571</v>
      </c>
      <c r="I22" s="64"/>
      <c r="J22" s="64"/>
      <c r="K22" s="64"/>
      <c r="L22" s="64"/>
      <c r="M22" s="64"/>
      <c r="N22" s="64"/>
      <c r="O22" s="64"/>
    </row>
    <row r="23" customFormat="false" ht="15" hidden="false" customHeight="false" outlineLevel="0" collapsed="false">
      <c r="A23" s="6" t="s">
        <v>572</v>
      </c>
      <c r="B23" s="64" t="s">
        <v>573</v>
      </c>
      <c r="C23" s="64"/>
      <c r="D23" s="64"/>
      <c r="E23" s="64"/>
      <c r="F23" s="64"/>
      <c r="G23" s="64"/>
      <c r="H23" s="64" t="s">
        <v>574</v>
      </c>
      <c r="I23" s="64"/>
      <c r="J23" s="64"/>
      <c r="K23" s="64"/>
      <c r="L23" s="64"/>
      <c r="M23" s="64"/>
      <c r="N23" s="64"/>
      <c r="O23" s="64"/>
    </row>
    <row r="24" customFormat="false" ht="15" hidden="false" customHeight="false" outlineLevel="0" collapsed="false">
      <c r="A24" s="6" t="s">
        <v>575</v>
      </c>
      <c r="B24" s="64" t="s">
        <v>576</v>
      </c>
      <c r="C24" s="64"/>
      <c r="D24" s="64"/>
      <c r="E24" s="64"/>
      <c r="F24" s="64"/>
      <c r="G24" s="64"/>
      <c r="H24" s="64" t="s">
        <v>577</v>
      </c>
      <c r="I24" s="64"/>
      <c r="J24" s="64"/>
      <c r="K24" s="64"/>
      <c r="L24" s="64"/>
      <c r="M24" s="64"/>
      <c r="N24" s="64"/>
      <c r="O24" s="64"/>
    </row>
    <row r="25" customFormat="false" ht="15" hidden="false" customHeight="false" outlineLevel="0" collapsed="false">
      <c r="A25" s="6" t="s">
        <v>578</v>
      </c>
      <c r="B25" s="64" t="s">
        <v>579</v>
      </c>
      <c r="C25" s="64"/>
      <c r="D25" s="64"/>
      <c r="E25" s="64"/>
      <c r="F25" s="64"/>
      <c r="G25" s="64"/>
      <c r="H25" s="64" t="s">
        <v>580</v>
      </c>
      <c r="I25" s="64"/>
      <c r="J25" s="64"/>
      <c r="K25" s="64"/>
      <c r="L25" s="64"/>
      <c r="M25" s="64"/>
      <c r="N25" s="64"/>
      <c r="O25" s="64"/>
    </row>
    <row r="26" customFormat="false" ht="15" hidden="false" customHeight="false" outlineLevel="0" collapsed="false">
      <c r="A26" s="6" t="s">
        <v>581</v>
      </c>
      <c r="B26" s="64" t="s">
        <v>582</v>
      </c>
      <c r="C26" s="64"/>
      <c r="D26" s="64"/>
      <c r="E26" s="64"/>
      <c r="F26" s="64"/>
      <c r="G26" s="64"/>
      <c r="H26" s="64" t="s">
        <v>583</v>
      </c>
      <c r="I26" s="64"/>
      <c r="J26" s="64"/>
      <c r="K26" s="64"/>
      <c r="L26" s="64"/>
      <c r="M26" s="64"/>
      <c r="N26" s="64"/>
      <c r="O26" s="64"/>
    </row>
    <row r="27" customFormat="false" ht="15" hidden="false" customHeight="false" outlineLevel="0" collapsed="false">
      <c r="A27" s="6" t="s">
        <v>584</v>
      </c>
      <c r="B27" s="64" t="s">
        <v>585</v>
      </c>
      <c r="C27" s="64"/>
      <c r="D27" s="64"/>
      <c r="E27" s="64"/>
      <c r="F27" s="64"/>
      <c r="G27" s="64"/>
      <c r="H27" s="64" t="s">
        <v>586</v>
      </c>
      <c r="I27" s="64"/>
      <c r="J27" s="64"/>
      <c r="K27" s="64"/>
      <c r="L27" s="64"/>
      <c r="M27" s="64"/>
      <c r="N27" s="64"/>
      <c r="O27" s="64"/>
    </row>
  </sheetData>
  <mergeCells count="17">
    <mergeCell ref="A16:O16"/>
    <mergeCell ref="B20:G20"/>
    <mergeCell ref="H20:O20"/>
    <mergeCell ref="B21:G21"/>
    <mergeCell ref="H21:O21"/>
    <mergeCell ref="B22:G22"/>
    <mergeCell ref="H22:O22"/>
    <mergeCell ref="B23:G23"/>
    <mergeCell ref="H23:O23"/>
    <mergeCell ref="B24:G24"/>
    <mergeCell ref="H24:O24"/>
    <mergeCell ref="B25:G25"/>
    <mergeCell ref="H25:O25"/>
    <mergeCell ref="B26:G26"/>
    <mergeCell ref="H26:O26"/>
    <mergeCell ref="B27:G27"/>
    <mergeCell ref="H27:O27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Kits de camisetas · Rev. 02 · Blumenau, outubro de 2026&amp;R&amp;8 &amp;A · 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7" min="2" style="0" width="11"/>
    <col collapsed="false" customWidth="true" hidden="false" outlineLevel="0" max="18" min="18" style="0" width="22"/>
  </cols>
  <sheetData>
    <row r="1" customFormat="false" ht="17.35" hidden="false" customHeight="false" outlineLevel="0" collapsed="false">
      <c r="A1" s="1" t="s">
        <v>587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3" t="s">
        <v>588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30" hidden="false" customHeight="true" outlineLevel="0" collapsed="false">
      <c r="A4" s="31" t="s">
        <v>589</v>
      </c>
      <c r="B4" s="32" t="s">
        <v>268</v>
      </c>
      <c r="C4" s="32" t="s">
        <v>245</v>
      </c>
      <c r="D4" s="32" t="s">
        <v>250</v>
      </c>
      <c r="E4" s="32" t="s">
        <v>213</v>
      </c>
      <c r="F4" s="32" t="s">
        <v>251</v>
      </c>
      <c r="G4" s="32" t="s">
        <v>590</v>
      </c>
      <c r="H4" s="32" t="s">
        <v>212</v>
      </c>
      <c r="I4" s="32" t="s">
        <v>591</v>
      </c>
      <c r="J4" s="32" t="s">
        <v>592</v>
      </c>
      <c r="K4" s="32" t="s">
        <v>593</v>
      </c>
      <c r="L4" s="32" t="s">
        <v>594</v>
      </c>
      <c r="M4" s="32" t="s">
        <v>595</v>
      </c>
      <c r="N4" s="32" t="s">
        <v>596</v>
      </c>
      <c r="O4" s="32" t="s">
        <v>597</v>
      </c>
      <c r="P4" s="32" t="s">
        <v>598</v>
      </c>
      <c r="Q4" s="32" t="s">
        <v>599</v>
      </c>
      <c r="R4" s="32" t="s">
        <v>202</v>
      </c>
    </row>
    <row r="5" customFormat="false" ht="15" hidden="false" customHeight="false" outlineLevel="0" collapsed="false">
      <c r="A5" s="10" t="s">
        <v>600</v>
      </c>
      <c r="B5" s="17" t="n">
        <f aca="false">'Ficha de Custo'!C14</f>
        <v>20.52</v>
      </c>
      <c r="C5" s="57" t="n">
        <v>5</v>
      </c>
      <c r="D5" s="17" t="n">
        <f aca="false">'Ficha de Custo'!C20</f>
        <v>5.5</v>
      </c>
      <c r="E5" s="49" t="n">
        <f aca="false">'Ficha de Custo'!C38</f>
        <v>1.1</v>
      </c>
      <c r="F5" s="20" t="n">
        <f aca="false">MATCH(E5-0.0000001,'Frete 2026'!$A$6:$A$11,1)</f>
        <v>4</v>
      </c>
      <c r="G5" s="62" t="n">
        <v>99</v>
      </c>
      <c r="H5" s="23" t="n">
        <f aca="false">B5*C5+D5</f>
        <v>108.1</v>
      </c>
      <c r="I5" s="23" t="n">
        <f aca="false">G5*Premissas!$B$26</f>
        <v>13.86</v>
      </c>
      <c r="J5" s="23" t="n">
        <f aca="false">IF(G5&lt;79,INDEX('Frete 2026'!$B$6:$B$11,F5),0)</f>
        <v>0</v>
      </c>
      <c r="K5" s="23" t="n">
        <f aca="false">IF(G5&gt;=79,INDEX('Frete 2026'!$C$6:$G$11,F5,MATCH(G5,'Frete 2026'!$C$5:$G$5,1)),0)</f>
        <v>16.05</v>
      </c>
      <c r="L5" s="23" t="n">
        <f aca="false">G5*Premissas!$B$27</f>
        <v>5.94</v>
      </c>
      <c r="M5" s="23" t="n">
        <f aca="false">G5*Premissas!$B$21</f>
        <v>4.455</v>
      </c>
      <c r="N5" s="23" t="n">
        <f aca="false">G5*Premissas!$B$22</f>
        <v>4.95</v>
      </c>
      <c r="O5" s="23" t="n">
        <f aca="false">SUM(H5:N5)</f>
        <v>153.355</v>
      </c>
      <c r="P5" s="43" t="n">
        <f aca="false">G5-O5</f>
        <v>-54.355</v>
      </c>
      <c r="Q5" s="59" t="n">
        <f aca="false">IF(G5=0,0,P5/G5)</f>
        <v>-0.549040404040404</v>
      </c>
      <c r="R5" s="45" t="str">
        <f aca="false">IF(Q5&lt;0,"INVIÁVEL",IF(Q5&lt;Premissas!$B$18,"ABAIXO DO MÍNIMO",IF(Q5&lt;0.25,"SAUDÁVEL","FORTE")))</f>
        <v>INVIÁVEL</v>
      </c>
    </row>
    <row r="6" customFormat="false" ht="15" hidden="false" customHeight="false" outlineLevel="0" collapsed="false">
      <c r="A6" s="10" t="s">
        <v>601</v>
      </c>
      <c r="B6" s="17" t="n">
        <f aca="false">'Ficha de Custo'!B14</f>
        <v>10.43</v>
      </c>
      <c r="C6" s="57" t="n">
        <v>5</v>
      </c>
      <c r="D6" s="17" t="n">
        <f aca="false">'Ficha de Custo'!B20</f>
        <v>1.1</v>
      </c>
      <c r="E6" s="49" t="n">
        <f aca="false">'Ficha de Custo'!B38</f>
        <v>0.9</v>
      </c>
      <c r="F6" s="20" t="n">
        <f aca="false">MATCH(E6-0.0000001,'Frete 2026'!$A$6:$A$11,1)</f>
        <v>3</v>
      </c>
      <c r="G6" s="62" t="n">
        <v>99</v>
      </c>
      <c r="H6" s="23" t="n">
        <f aca="false">B6*C6+D6</f>
        <v>53.25</v>
      </c>
      <c r="I6" s="23" t="n">
        <f aca="false">G6*Premissas!$B$26</f>
        <v>13.86</v>
      </c>
      <c r="J6" s="23" t="n">
        <f aca="false">IF(G6&lt;79,INDEX('Frete 2026'!$B$6:$B$11,F6),0)</f>
        <v>0</v>
      </c>
      <c r="K6" s="23" t="n">
        <f aca="false">IF(G6&gt;=79,INDEX('Frete 2026'!$C$6:$G$11,F6,MATCH(G6,'Frete 2026'!$C$5:$G$5,1)),0)</f>
        <v>13.55</v>
      </c>
      <c r="L6" s="23" t="n">
        <f aca="false">G6*Premissas!$B$27</f>
        <v>5.94</v>
      </c>
      <c r="M6" s="23" t="n">
        <f aca="false">G6*Premissas!$B$21</f>
        <v>4.455</v>
      </c>
      <c r="N6" s="23" t="n">
        <f aca="false">G6*Premissas!$B$22</f>
        <v>4.95</v>
      </c>
      <c r="O6" s="23" t="n">
        <f aca="false">SUM(H6:N6)</f>
        <v>96.005</v>
      </c>
      <c r="P6" s="43" t="n">
        <f aca="false">G6-O6</f>
        <v>2.99499999999999</v>
      </c>
      <c r="Q6" s="59" t="n">
        <f aca="false">IF(G6=0,0,P6/G6)</f>
        <v>0.0302525252525252</v>
      </c>
      <c r="R6" s="45" t="str">
        <f aca="false">IF(Q6&lt;0,"INVIÁVEL",IF(Q6&lt;Premissas!$B$18,"ABAIXO DO MÍNIMO",IF(Q6&lt;0.25,"SAUDÁVEL","FORTE")))</f>
        <v>ABAIXO DO MÍNIMO</v>
      </c>
    </row>
    <row r="7" customFormat="false" ht="15" hidden="false" customHeight="false" outlineLevel="0" collapsed="false">
      <c r="A7" s="10" t="s">
        <v>602</v>
      </c>
      <c r="B7" s="62" t="n">
        <v>8</v>
      </c>
      <c r="C7" s="57" t="n">
        <v>5</v>
      </c>
      <c r="D7" s="17" t="n">
        <f aca="false">'Ficha de Custo'!B20</f>
        <v>1.1</v>
      </c>
      <c r="E7" s="49" t="n">
        <f aca="false">'Ficha de Custo'!B38</f>
        <v>0.9</v>
      </c>
      <c r="F7" s="20" t="n">
        <f aca="false">MATCH(E7-0.0000001,'Frete 2026'!$A$6:$A$11,1)</f>
        <v>3</v>
      </c>
      <c r="G7" s="62" t="n">
        <v>99</v>
      </c>
      <c r="H7" s="23" t="n">
        <f aca="false">B7*C7+D7</f>
        <v>41.1</v>
      </c>
      <c r="I7" s="23" t="n">
        <f aca="false">G7*Premissas!$B$26</f>
        <v>13.86</v>
      </c>
      <c r="J7" s="23" t="n">
        <f aca="false">IF(G7&lt;79,INDEX('Frete 2026'!$B$6:$B$11,F7),0)</f>
        <v>0</v>
      </c>
      <c r="K7" s="23" t="n">
        <f aca="false">IF(G7&gt;=79,INDEX('Frete 2026'!$C$6:$G$11,F7,MATCH(G7,'Frete 2026'!$C$5:$G$5,1)),0)</f>
        <v>13.55</v>
      </c>
      <c r="L7" s="23" t="n">
        <f aca="false">G7*Premissas!$B$27</f>
        <v>5.94</v>
      </c>
      <c r="M7" s="23" t="n">
        <f aca="false">G7*Premissas!$B$21</f>
        <v>4.455</v>
      </c>
      <c r="N7" s="23" t="n">
        <f aca="false">G7*Premissas!$B$22</f>
        <v>4.95</v>
      </c>
      <c r="O7" s="23" t="n">
        <f aca="false">SUM(H7:N7)</f>
        <v>83.855</v>
      </c>
      <c r="P7" s="43" t="n">
        <f aca="false">G7-O7</f>
        <v>15.145</v>
      </c>
      <c r="Q7" s="59" t="n">
        <f aca="false">IF(G7=0,0,P7/G7)</f>
        <v>0.152979797979798</v>
      </c>
      <c r="R7" s="45" t="str">
        <f aca="false">IF(Q7&lt;0,"INVIÁVEL",IF(Q7&lt;Premissas!$B$18,"ABAIXO DO MÍNIMO",IF(Q7&lt;0.25,"SAUDÁVEL","FORTE")))</f>
        <v>SAUDÁVEL</v>
      </c>
    </row>
    <row r="8" customFormat="false" ht="15" hidden="false" customHeight="false" outlineLevel="0" collapsed="false">
      <c r="A8" s="10" t="s">
        <v>603</v>
      </c>
      <c r="B8" s="17" t="n">
        <f aca="false">'Ficha de Custo'!C14</f>
        <v>20.52</v>
      </c>
      <c r="C8" s="57" t="n">
        <v>3</v>
      </c>
      <c r="D8" s="17" t="n">
        <f aca="false">'Ficha de Custo'!C19</f>
        <v>4.5</v>
      </c>
      <c r="E8" s="49" t="n">
        <f aca="false">'Ficha de Custo'!C37</f>
        <v>0.68</v>
      </c>
      <c r="F8" s="20" t="n">
        <f aca="false">MATCH(E8-0.0000001,'Frete 2026'!$A$6:$A$11,1)</f>
        <v>3</v>
      </c>
      <c r="G8" s="62" t="n">
        <v>169.9</v>
      </c>
      <c r="H8" s="23" t="n">
        <f aca="false">B8*C8+D8</f>
        <v>66.06</v>
      </c>
      <c r="I8" s="23" t="n">
        <f aca="false">G8*Premissas!$B$26</f>
        <v>23.786</v>
      </c>
      <c r="J8" s="23" t="n">
        <f aca="false">IF(G8&lt;79,INDEX('Frete 2026'!$B$6:$B$11,F8),0)</f>
        <v>0</v>
      </c>
      <c r="K8" s="23" t="n">
        <f aca="false">IF(G8&gt;=79,INDEX('Frete 2026'!$C$6:$G$11,F8,MATCH(G8,'Frete 2026'!$C$5:$G$5,1)),0)</f>
        <v>20</v>
      </c>
      <c r="L8" s="23" t="n">
        <f aca="false">G8*Premissas!$B$27</f>
        <v>10.194</v>
      </c>
      <c r="M8" s="23" t="n">
        <f aca="false">G8*Premissas!$B$21</f>
        <v>7.6455</v>
      </c>
      <c r="N8" s="23" t="n">
        <f aca="false">G8*Premissas!$B$22</f>
        <v>8.495</v>
      </c>
      <c r="O8" s="23" t="n">
        <f aca="false">SUM(H8:N8)</f>
        <v>136.1805</v>
      </c>
      <c r="P8" s="43" t="n">
        <f aca="false">G8-O8</f>
        <v>33.7195</v>
      </c>
      <c r="Q8" s="59" t="n">
        <f aca="false">IF(G8=0,0,P8/G8)</f>
        <v>0.198466745144203</v>
      </c>
      <c r="R8" s="45" t="str">
        <f aca="false">IF(Q8&lt;0,"INVIÁVEL",IF(Q8&lt;Premissas!$B$18,"ABAIXO DO MÍNIMO",IF(Q8&lt;0.25,"SAUDÁVEL","FORTE")))</f>
        <v>SAUDÁVEL</v>
      </c>
    </row>
    <row r="9" customFormat="false" ht="15" hidden="false" customHeight="false" outlineLevel="0" collapsed="false">
      <c r="A9" s="10" t="s">
        <v>604</v>
      </c>
      <c r="B9" s="17" t="n">
        <f aca="false">'Ficha de Custo'!D14</f>
        <v>31.83</v>
      </c>
      <c r="C9" s="57" t="n">
        <v>1</v>
      </c>
      <c r="D9" s="17" t="n">
        <f aca="false">'Ficha de Custo'!D18</f>
        <v>2.9</v>
      </c>
      <c r="E9" s="49" t="n">
        <f aca="false">'Ficha de Custo'!D36</f>
        <v>0.22</v>
      </c>
      <c r="F9" s="20" t="n">
        <f aca="false">MATCH(E9-0.0000001,'Frete 2026'!$A$6:$A$11,1)</f>
        <v>1</v>
      </c>
      <c r="G9" s="62" t="n">
        <v>119.9</v>
      </c>
      <c r="H9" s="23" t="n">
        <f aca="false">B9*C9+D9</f>
        <v>34.73</v>
      </c>
      <c r="I9" s="23" t="n">
        <f aca="false">G9*Premissas!$B$26</f>
        <v>16.786</v>
      </c>
      <c r="J9" s="23" t="n">
        <f aca="false">IF(G9&lt;79,INDEX('Frete 2026'!$B$6:$B$11,F9),0)</f>
        <v>0</v>
      </c>
      <c r="K9" s="23" t="n">
        <f aca="false">IF(G9&gt;=79,INDEX('Frete 2026'!$C$6:$G$11,F9,MATCH(G9,'Frete 2026'!$C$5:$G$5,1)),0)</f>
        <v>14.5</v>
      </c>
      <c r="L9" s="23" t="n">
        <f aca="false">G9*Premissas!$B$27</f>
        <v>7.194</v>
      </c>
      <c r="M9" s="23" t="n">
        <f aca="false">G9*Premissas!$B$21</f>
        <v>5.3955</v>
      </c>
      <c r="N9" s="23" t="n">
        <f aca="false">G9*Premissas!$B$22</f>
        <v>5.995</v>
      </c>
      <c r="O9" s="23" t="n">
        <f aca="false">SUM(H9:N9)</f>
        <v>84.6005</v>
      </c>
      <c r="P9" s="43" t="n">
        <f aca="false">G9-O9</f>
        <v>35.2995</v>
      </c>
      <c r="Q9" s="59" t="n">
        <f aca="false">IF(G9=0,0,P9/G9)</f>
        <v>0.294407839866556</v>
      </c>
      <c r="R9" s="45" t="str">
        <f aca="false">IF(Q9&lt;0,"INVIÁVEL",IF(Q9&lt;Premissas!$B$18,"ABAIXO DO MÍNIMO",IF(Q9&lt;0.25,"SAUDÁVEL","FORTE")))</f>
        <v>FORTE</v>
      </c>
    </row>
    <row r="10" customFormat="false" ht="15" hidden="false" customHeight="false" outlineLevel="0" collapsed="false">
      <c r="A10" s="10" t="s">
        <v>605</v>
      </c>
      <c r="B10" s="17" t="n">
        <f aca="false">'Ficha de Custo'!C14</f>
        <v>20.52</v>
      </c>
      <c r="C10" s="57" t="n">
        <v>1</v>
      </c>
      <c r="D10" s="17" t="n">
        <f aca="false">'Ficha de Custo'!C18</f>
        <v>1.5</v>
      </c>
      <c r="E10" s="49" t="n">
        <f aca="false">'Ficha de Custo'!C36</f>
        <v>0.23</v>
      </c>
      <c r="F10" s="20" t="n">
        <f aca="false">MATCH(E10-0.0000001,'Frete 2026'!$A$6:$A$11,1)</f>
        <v>1</v>
      </c>
      <c r="G10" s="62" t="n">
        <v>54.9</v>
      </c>
      <c r="H10" s="23" t="n">
        <f aca="false">B10*C10+D10</f>
        <v>22.02</v>
      </c>
      <c r="I10" s="23" t="n">
        <f aca="false">G10*Premissas!$B$26</f>
        <v>7.686</v>
      </c>
      <c r="J10" s="23" t="n">
        <f aca="false">IF(G10&lt;79,INDEX('Frete 2026'!$B$6:$B$11,F10),0)</f>
        <v>6.5</v>
      </c>
      <c r="K10" s="23" t="n">
        <f aca="false">IF(G10&gt;=79,INDEX('Frete 2026'!$C$6:$G$11,F10,MATCH(G10,'Frete 2026'!$C$5:$G$5,1)),0)</f>
        <v>0</v>
      </c>
      <c r="L10" s="23" t="n">
        <f aca="false">G10*Premissas!$B$27</f>
        <v>3.294</v>
      </c>
      <c r="M10" s="23" t="n">
        <f aca="false">G10*Premissas!$B$21</f>
        <v>2.4705</v>
      </c>
      <c r="N10" s="23" t="n">
        <f aca="false">G10*Premissas!$B$22</f>
        <v>2.745</v>
      </c>
      <c r="O10" s="23" t="n">
        <f aca="false">SUM(H10:N10)</f>
        <v>44.7155</v>
      </c>
      <c r="P10" s="43" t="n">
        <f aca="false">G10-O10</f>
        <v>10.1845</v>
      </c>
      <c r="Q10" s="59" t="n">
        <f aca="false">IF(G10=0,0,P10/G10)</f>
        <v>0.185510018214936</v>
      </c>
      <c r="R10" s="45" t="str">
        <f aca="false">IF(Q10&lt;0,"INVIÁVEL",IF(Q10&lt;Premissas!$B$18,"ABAIXO DO MÍNIMO",IF(Q10&lt;0.25,"SAUDÁVEL","FORTE")))</f>
        <v>SAUDÁVEL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customFormat="false" ht="30" hidden="false" customHeight="true" outlineLevel="0" collapsed="false">
      <c r="A12" s="6" t="s">
        <v>606</v>
      </c>
      <c r="B12" s="2"/>
      <c r="C12" s="2"/>
      <c r="D12" s="2"/>
      <c r="E12" s="2"/>
      <c r="F12" s="2"/>
      <c r="G12" s="43" t="n">
        <f aca="false">(G6-SUM(I6:N6)-D6)/C6</f>
        <v>11.029</v>
      </c>
      <c r="H12" s="38" t="s">
        <v>607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</row>
    <row r="13" customFormat="false" ht="15" hidden="false" customHeight="false" outlineLevel="0" collapsed="false">
      <c r="A13" s="6" t="s">
        <v>608</v>
      </c>
      <c r="B13" s="2"/>
      <c r="C13" s="2"/>
      <c r="D13" s="2"/>
      <c r="E13" s="2"/>
      <c r="F13" s="2"/>
      <c r="G13" s="43" t="n">
        <f aca="false">(G6*(1-Premissas!$B$18)-SUM(I6:N6)-D6)/C6</f>
        <v>8.059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</row>
  </sheetData>
  <mergeCells count="1">
    <mergeCell ref="H12:R13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Kits de camisetas · Rev. 02 · Blumenau, outubro de 2026&amp;R&amp;8 &amp;A · 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2"/>
  </cols>
  <sheetData>
    <row r="1" customFormat="false" ht="17.35" hidden="false" customHeight="false" outlineLevel="0" collapsed="false">
      <c r="A1" s="1" t="s">
        <v>609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610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6" t="s">
        <v>611</v>
      </c>
      <c r="B3" s="76" t="n">
        <f aca="false">Premissas!$B$6</f>
        <v>3</v>
      </c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9.5" hidden="false" customHeight="true" outlineLevel="0" collapsed="false">
      <c r="A5" s="31" t="s">
        <v>612</v>
      </c>
      <c r="B5" s="77" t="n">
        <v>129.9</v>
      </c>
      <c r="C5" s="77" t="n">
        <v>139.9</v>
      </c>
      <c r="D5" s="77" t="n">
        <v>149.9</v>
      </c>
      <c r="E5" s="77" t="n">
        <v>159.9</v>
      </c>
      <c r="F5" s="77" t="n">
        <v>169.9</v>
      </c>
      <c r="G5" s="77" t="n">
        <v>179.9</v>
      </c>
      <c r="H5" s="77" t="n">
        <v>199.9</v>
      </c>
      <c r="I5" s="77" t="n">
        <v>219.9</v>
      </c>
    </row>
    <row r="6" customFormat="false" ht="15" hidden="false" customHeight="false" outlineLevel="0" collapsed="false">
      <c r="A6" s="62" t="n">
        <v>8</v>
      </c>
      <c r="B6" s="78" t="n">
        <f aca="false">IF(B$5=0,0,(B$5-($A6*Premissas!$B$6+Premissas!$B$10)-B$5*'Kits calculo'!$D$4-IF(B$5&lt;79,INDEX('Frete 2026'!$B$6:$B$11,Premissas!$B$14),INDEX('Frete 2026'!$C$6:$G$11,Premissas!$B$14,MATCH(B$5,'Frete 2026'!$C$5:$G$5,1))))/B$5)</f>
        <v>0.348187066974596</v>
      </c>
      <c r="C6" s="78" t="n">
        <f aca="false">IF(C$5=0,0,(C$5-($A6*Premissas!$B$6+Premissas!$B$10)-C$5*'Kits calculo'!$D$4-IF(C$5&lt;79,INDEX('Frete 2026'!$B$6:$B$11,Premissas!$B$14),INDEX('Frete 2026'!$C$6:$G$11,Premissas!$B$14,MATCH(C$5,'Frete 2026'!$C$5:$G$5,1))))/C$5)</f>
        <v>0.373691922802002</v>
      </c>
      <c r="D6" s="78" t="n">
        <f aca="false">IF(D$5=0,0,(D$5-($A6*Premissas!$B$6+Premissas!$B$10)-D$5*'Kits calculo'!$D$4-IF(D$5&lt;79,INDEX('Frete 2026'!$B$6:$B$11,Premissas!$B$14),INDEX('Frete 2026'!$C$6:$G$11,Premissas!$B$14,MATCH(D$5,'Frete 2026'!$C$5:$G$5,1))))/D$5)</f>
        <v>0.39579386257505</v>
      </c>
      <c r="E6" s="78" t="n">
        <f aca="false">IF(E$5=0,0,(E$5-($A6*Premissas!$B$6+Premissas!$B$10)-E$5*'Kits calculo'!$D$4-IF(E$5&lt;79,INDEX('Frete 2026'!$B$6:$B$11,Premissas!$B$14),INDEX('Frete 2026'!$C$6:$G$11,Premissas!$B$14,MATCH(E$5,'Frete 2026'!$C$5:$G$5,1))))/E$5)</f>
        <v>0.401685428392745</v>
      </c>
      <c r="F6" s="78" t="n">
        <f aca="false">IF(F$5=0,0,(F$5-($A6*Premissas!$B$6+Premissas!$B$10)-F$5*'Kits calculo'!$D$4-IF(F$5&lt;79,INDEX('Frete 2026'!$B$6:$B$11,Premissas!$B$14),INDEX('Frete 2026'!$C$6:$G$11,Premissas!$B$14,MATCH(F$5,'Frete 2026'!$C$5:$G$5,1))))/F$5)</f>
        <v>0.419537963507946</v>
      </c>
      <c r="G6" s="78" t="n">
        <f aca="false">IF(G$5=0,0,(G$5-($A6*Premissas!$B$6+Premissas!$B$10)-G$5*'Kits calculo'!$D$4-IF(G$5&lt;79,INDEX('Frete 2026'!$B$6:$B$11,Premissas!$B$14),INDEX('Frete 2026'!$C$6:$G$11,Premissas!$B$14,MATCH(G$5,'Frete 2026'!$C$5:$G$5,1))))/G$5)</f>
        <v>0.435405780989439</v>
      </c>
      <c r="H6" s="78" t="n">
        <f aca="false">IF(H$5=0,0,(H$5-($A6*Premissas!$B$6+Premissas!$B$10)-H$5*'Kits calculo'!$D$4-IF(H$5&lt;79,INDEX('Frete 2026'!$B$6:$B$11,Premissas!$B$14),INDEX('Frete 2026'!$C$6:$G$11,Premissas!$B$14,MATCH(H$5,'Frete 2026'!$C$5:$G$5,1))))/H$5)</f>
        <v>0.462378689344672</v>
      </c>
      <c r="I6" s="78" t="n">
        <f aca="false">IF(I$5=0,0,(I$5-($A6*Premissas!$B$6+Premissas!$B$10)-I$5*'Kits calculo'!$D$4-IF(I$5&lt;79,INDEX('Frete 2026'!$B$6:$B$11,Premissas!$B$14),INDEX('Frete 2026'!$C$6:$G$11,Premissas!$B$14,MATCH(I$5,'Frete 2026'!$C$5:$G$5,1))))/I$5)</f>
        <v>0.474668030923147</v>
      </c>
    </row>
    <row r="7" customFormat="false" ht="15" hidden="false" customHeight="false" outlineLevel="0" collapsed="false">
      <c r="A7" s="62" t="n">
        <v>10.43</v>
      </c>
      <c r="B7" s="78" t="n">
        <f aca="false">IF(B$5=0,0,(B$5-($A7*Premissas!$B$6+Premissas!$B$10)-B$5*'Kits calculo'!$D$4-IF(B$5&lt;79,INDEX('Frete 2026'!$B$6:$B$11,Premissas!$B$14),INDEX('Frete 2026'!$C$6:$G$11,Premissas!$B$14,MATCH(B$5,'Frete 2026'!$C$5:$G$5,1))))/B$5)</f>
        <v>0.292066974595843</v>
      </c>
      <c r="C7" s="78" t="n">
        <f aca="false">IF(C$5=0,0,(C$5-($A7*Premissas!$B$6+Premissas!$B$10)-C$5*'Kits calculo'!$D$4-IF(C$5&lt;79,INDEX('Frete 2026'!$B$6:$B$11,Premissas!$B$14),INDEX('Frete 2026'!$C$6:$G$11,Premissas!$B$14,MATCH(C$5,'Frete 2026'!$C$5:$G$5,1))))/C$5)</f>
        <v>0.321583273766977</v>
      </c>
      <c r="D7" s="78" t="n">
        <f aca="false">IF(D$5=0,0,(D$5-($A7*Premissas!$B$6+Premissas!$B$10)-D$5*'Kits calculo'!$D$4-IF(D$5&lt;79,INDEX('Frete 2026'!$B$6:$B$11,Premissas!$B$14),INDEX('Frete 2026'!$C$6:$G$11,Premissas!$B$14,MATCH(D$5,'Frete 2026'!$C$5:$G$5,1))))/D$5)</f>
        <v>0.347161440960641</v>
      </c>
      <c r="E7" s="78" t="n">
        <f aca="false">IF(E$5=0,0,(E$5-($A7*Premissas!$B$6+Premissas!$B$10)-E$5*'Kits calculo'!$D$4-IF(E$5&lt;79,INDEX('Frete 2026'!$B$6:$B$11,Premissas!$B$14),INDEX('Frete 2026'!$C$6:$G$11,Premissas!$B$14,MATCH(E$5,'Frete 2026'!$C$5:$G$5,1))))/E$5)</f>
        <v>0.356094434021263</v>
      </c>
      <c r="F7" s="78" t="n">
        <f aca="false">IF(F$5=0,0,(F$5-($A7*Premissas!$B$6+Premissas!$B$10)-F$5*'Kits calculo'!$D$4-IF(F$5&lt;79,INDEX('Frete 2026'!$B$6:$B$11,Premissas!$B$14),INDEX('Frete 2026'!$C$6:$G$11,Premissas!$B$14,MATCH(F$5,'Frete 2026'!$C$5:$G$5,1))))/F$5)</f>
        <v>0.376630370806357</v>
      </c>
      <c r="G7" s="78" t="n">
        <f aca="false">IF(G$5=0,0,(G$5-($A7*Premissas!$B$6+Premissas!$B$10)-G$5*'Kits calculo'!$D$4-IF(G$5&lt;79,INDEX('Frete 2026'!$B$6:$B$11,Premissas!$B$14),INDEX('Frete 2026'!$C$6:$G$11,Premissas!$B$14,MATCH(G$5,'Frete 2026'!$C$5:$G$5,1))))/G$5)</f>
        <v>0.39488326848249</v>
      </c>
      <c r="H7" s="78" t="n">
        <f aca="false">IF(H$5=0,0,(H$5-($A7*Premissas!$B$6+Premissas!$B$10)-H$5*'Kits calculo'!$D$4-IF(H$5&lt;79,INDEX('Frete 2026'!$B$6:$B$11,Premissas!$B$14),INDEX('Frete 2026'!$C$6:$G$11,Premissas!$B$14,MATCH(H$5,'Frete 2026'!$C$5:$G$5,1))))/H$5)</f>
        <v>0.425910455227614</v>
      </c>
      <c r="I7" s="78" t="n">
        <f aca="false">IF(I$5=0,0,(I$5-($A7*Premissas!$B$6+Premissas!$B$10)-I$5*'Kits calculo'!$D$4-IF(I$5&lt;79,INDEX('Frete 2026'!$B$6:$B$11,Premissas!$B$14),INDEX('Frete 2026'!$C$6:$G$11,Premissas!$B$14,MATCH(I$5,'Frete 2026'!$C$5:$G$5,1))))/I$5)</f>
        <v>0.441516598453843</v>
      </c>
    </row>
    <row r="8" customFormat="false" ht="15" hidden="false" customHeight="false" outlineLevel="0" collapsed="false">
      <c r="A8" s="62" t="n">
        <v>12</v>
      </c>
      <c r="B8" s="78" t="n">
        <f aca="false">IF(B$5=0,0,(B$5-($A8*Premissas!$B$6+Premissas!$B$10)-B$5*'Kits calculo'!$D$4-IF(B$5&lt;79,INDEX('Frete 2026'!$B$6:$B$11,Premissas!$B$14),INDEX('Frete 2026'!$C$6:$G$11,Premissas!$B$14,MATCH(B$5,'Frete 2026'!$C$5:$G$5,1))))/B$5)</f>
        <v>0.25580831408776</v>
      </c>
      <c r="C8" s="78" t="n">
        <f aca="false">IF(C$5=0,0,(C$5-($A8*Premissas!$B$6+Premissas!$B$10)-C$5*'Kits calculo'!$D$4-IF(C$5&lt;79,INDEX('Frete 2026'!$B$6:$B$11,Premissas!$B$14),INDEX('Frete 2026'!$C$6:$G$11,Premissas!$B$14,MATCH(C$5,'Frete 2026'!$C$5:$G$5,1))))/C$5)</f>
        <v>0.287916368834882</v>
      </c>
      <c r="D8" s="78" t="n">
        <f aca="false">IF(D$5=0,0,(D$5-($A8*Premissas!$B$6+Premissas!$B$10)-D$5*'Kits calculo'!$D$4-IF(D$5&lt;79,INDEX('Frete 2026'!$B$6:$B$11,Premissas!$B$14),INDEX('Frete 2026'!$C$6:$G$11,Premissas!$B$14,MATCH(D$5,'Frete 2026'!$C$5:$G$5,1))))/D$5)</f>
        <v>0.315740493662442</v>
      </c>
      <c r="E8" s="78" t="n">
        <f aca="false">IF(E$5=0,0,(E$5-($A8*Premissas!$B$6+Premissas!$B$10)-E$5*'Kits calculo'!$D$4-IF(E$5&lt;79,INDEX('Frete 2026'!$B$6:$B$11,Premissas!$B$14),INDEX('Frete 2026'!$C$6:$G$11,Premissas!$B$14,MATCH(E$5,'Frete 2026'!$C$5:$G$5,1))))/E$5)</f>
        <v>0.326638524077548</v>
      </c>
      <c r="F8" s="78" t="n">
        <f aca="false">IF(F$5=0,0,(F$5-($A8*Premissas!$B$6+Premissas!$B$10)-F$5*'Kits calculo'!$D$4-IF(F$5&lt;79,INDEX('Frete 2026'!$B$6:$B$11,Premissas!$B$14),INDEX('Frete 2026'!$C$6:$G$11,Premissas!$B$14,MATCH(F$5,'Frete 2026'!$C$5:$G$5,1))))/F$5)</f>
        <v>0.348908181283108</v>
      </c>
      <c r="G8" s="78" t="n">
        <f aca="false">IF(G$5=0,0,(G$5-($A8*Premissas!$B$6+Premissas!$B$10)-G$5*'Kits calculo'!$D$4-IF(G$5&lt;79,INDEX('Frete 2026'!$B$6:$B$11,Premissas!$B$14),INDEX('Frete 2026'!$C$6:$G$11,Premissas!$B$14,MATCH(G$5,'Frete 2026'!$C$5:$G$5,1))))/G$5)</f>
        <v>0.368702056698166</v>
      </c>
      <c r="H8" s="78" t="n">
        <f aca="false">IF(H$5=0,0,(H$5-($A8*Premissas!$B$6+Premissas!$B$10)-H$5*'Kits calculo'!$D$4-IF(H$5&lt;79,INDEX('Frete 2026'!$B$6:$B$11,Premissas!$B$14),INDEX('Frete 2026'!$C$6:$G$11,Premissas!$B$14,MATCH(H$5,'Frete 2026'!$C$5:$G$5,1))))/H$5)</f>
        <v>0.402348674337169</v>
      </c>
      <c r="I8" s="78" t="n">
        <f aca="false">IF(I$5=0,0,(I$5-($A8*Premissas!$B$6+Premissas!$B$10)-I$5*'Kits calculo'!$D$4-IF(I$5&lt;79,INDEX('Frete 2026'!$B$6:$B$11,Premissas!$B$14),INDEX('Frete 2026'!$C$6:$G$11,Premissas!$B$14,MATCH(I$5,'Frete 2026'!$C$5:$G$5,1))))/I$5)</f>
        <v>0.420097771714416</v>
      </c>
    </row>
    <row r="9" customFormat="false" ht="15" hidden="false" customHeight="false" outlineLevel="0" collapsed="false">
      <c r="A9" s="62" t="n">
        <v>14</v>
      </c>
      <c r="B9" s="78" t="n">
        <f aca="false">IF(B$5=0,0,(B$5-($A9*Premissas!$B$6+Premissas!$B$10)-B$5*'Kits calculo'!$D$4-IF(B$5&lt;79,INDEX('Frete 2026'!$B$6:$B$11,Premissas!$B$14),INDEX('Frete 2026'!$C$6:$G$11,Premissas!$B$14,MATCH(B$5,'Frete 2026'!$C$5:$G$5,1))))/B$5)</f>
        <v>0.209618937644342</v>
      </c>
      <c r="C9" s="78" t="n">
        <f aca="false">IF(C$5=0,0,(C$5-($A9*Premissas!$B$6+Premissas!$B$10)-C$5*'Kits calculo'!$D$4-IF(C$5&lt;79,INDEX('Frete 2026'!$B$6:$B$11,Premissas!$B$14),INDEX('Frete 2026'!$C$6:$G$11,Premissas!$B$14,MATCH(C$5,'Frete 2026'!$C$5:$G$5,1))))/C$5)</f>
        <v>0.245028591851322</v>
      </c>
      <c r="D9" s="78" t="n">
        <f aca="false">IF(D$5=0,0,(D$5-($A9*Premissas!$B$6+Premissas!$B$10)-D$5*'Kits calculo'!$D$4-IF(D$5&lt;79,INDEX('Frete 2026'!$B$6:$B$11,Premissas!$B$14),INDEX('Frete 2026'!$C$6:$G$11,Premissas!$B$14,MATCH(D$5,'Frete 2026'!$C$5:$G$5,1))))/D$5)</f>
        <v>0.275713809206137</v>
      </c>
      <c r="E9" s="78" t="n">
        <f aca="false">IF(E$5=0,0,(E$5-($A9*Premissas!$B$6+Premissas!$B$10)-E$5*'Kits calculo'!$D$4-IF(E$5&lt;79,INDEX('Frete 2026'!$B$6:$B$11,Premissas!$B$14),INDEX('Frete 2026'!$C$6:$G$11,Premissas!$B$14,MATCH(E$5,'Frete 2026'!$C$5:$G$5,1))))/E$5)</f>
        <v>0.28911507191995</v>
      </c>
      <c r="F9" s="78" t="n">
        <f aca="false">IF(F$5=0,0,(F$5-($A9*Premissas!$B$6+Premissas!$B$10)-F$5*'Kits calculo'!$D$4-IF(F$5&lt;79,INDEX('Frete 2026'!$B$6:$B$11,Premissas!$B$14),INDEX('Frete 2026'!$C$6:$G$11,Premissas!$B$14,MATCH(F$5,'Frete 2026'!$C$5:$G$5,1))))/F$5)</f>
        <v>0.313593290170689</v>
      </c>
      <c r="G9" s="78" t="n">
        <f aca="false">IF(G$5=0,0,(G$5-($A9*Premissas!$B$6+Premissas!$B$10)-G$5*'Kits calculo'!$D$4-IF(G$5&lt;79,INDEX('Frete 2026'!$B$6:$B$11,Premissas!$B$14),INDEX('Frete 2026'!$C$6:$G$11,Premissas!$B$14,MATCH(G$5,'Frete 2026'!$C$5:$G$5,1))))/G$5)</f>
        <v>0.335350194552529</v>
      </c>
      <c r="H9" s="78" t="n">
        <f aca="false">IF(H$5=0,0,(H$5-($A9*Premissas!$B$6+Premissas!$B$10)-H$5*'Kits calculo'!$D$4-IF(H$5&lt;79,INDEX('Frete 2026'!$B$6:$B$11,Premissas!$B$14),INDEX('Frete 2026'!$C$6:$G$11,Premissas!$B$14,MATCH(H$5,'Frete 2026'!$C$5:$G$5,1))))/H$5)</f>
        <v>0.372333666833417</v>
      </c>
      <c r="I9" s="78" t="n">
        <f aca="false">IF(I$5=0,0,(I$5-($A9*Premissas!$B$6+Premissas!$B$10)-I$5*'Kits calculo'!$D$4-IF(I$5&lt;79,INDEX('Frete 2026'!$B$6:$B$11,Premissas!$B$14),INDEX('Frete 2026'!$C$6:$G$11,Premissas!$B$14,MATCH(I$5,'Frete 2026'!$C$5:$G$5,1))))/I$5)</f>
        <v>0.39281264211005</v>
      </c>
    </row>
    <row r="10" customFormat="false" ht="15" hidden="false" customHeight="false" outlineLevel="0" collapsed="false">
      <c r="A10" s="62" t="n">
        <v>16</v>
      </c>
      <c r="B10" s="78" t="n">
        <f aca="false">IF(B$5=0,0,(B$5-($A10*Premissas!$B$6+Premissas!$B$10)-B$5*'Kits calculo'!$D$4-IF(B$5&lt;79,INDEX('Frete 2026'!$B$6:$B$11,Premissas!$B$14),INDEX('Frete 2026'!$C$6:$G$11,Premissas!$B$14,MATCH(B$5,'Frete 2026'!$C$5:$G$5,1))))/B$5)</f>
        <v>0.163429561200924</v>
      </c>
      <c r="C10" s="78" t="n">
        <f aca="false">IF(C$5=0,0,(C$5-($A10*Premissas!$B$6+Premissas!$B$10)-C$5*'Kits calculo'!$D$4-IF(C$5&lt;79,INDEX('Frete 2026'!$B$6:$B$11,Premissas!$B$14),INDEX('Frete 2026'!$C$6:$G$11,Premissas!$B$14,MATCH(C$5,'Frete 2026'!$C$5:$G$5,1))))/C$5)</f>
        <v>0.202140814867763</v>
      </c>
      <c r="D10" s="78" t="n">
        <f aca="false">IF(D$5=0,0,(D$5-($A10*Premissas!$B$6+Premissas!$B$10)-D$5*'Kits calculo'!$D$4-IF(D$5&lt;79,INDEX('Frete 2026'!$B$6:$B$11,Premissas!$B$14),INDEX('Frete 2026'!$C$6:$G$11,Premissas!$B$14,MATCH(D$5,'Frete 2026'!$C$5:$G$5,1))))/D$5)</f>
        <v>0.235687124749833</v>
      </c>
      <c r="E10" s="78" t="n">
        <f aca="false">IF(E$5=0,0,(E$5-($A10*Premissas!$B$6+Premissas!$B$10)-E$5*'Kits calculo'!$D$4-IF(E$5&lt;79,INDEX('Frete 2026'!$B$6:$B$11,Premissas!$B$14),INDEX('Frete 2026'!$C$6:$G$11,Premissas!$B$14,MATCH(E$5,'Frete 2026'!$C$5:$G$5,1))))/E$5)</f>
        <v>0.251591619762352</v>
      </c>
      <c r="F10" s="78" t="n">
        <f aca="false">IF(F$5=0,0,(F$5-($A10*Premissas!$B$6+Premissas!$B$10)-F$5*'Kits calculo'!$D$4-IF(F$5&lt;79,INDEX('Frete 2026'!$B$6:$B$11,Premissas!$B$14),INDEX('Frete 2026'!$C$6:$G$11,Premissas!$B$14,MATCH(F$5,'Frete 2026'!$C$5:$G$5,1))))/F$5)</f>
        <v>0.27827839905827</v>
      </c>
      <c r="G10" s="78" t="n">
        <f aca="false">IF(G$5=0,0,(G$5-($A10*Premissas!$B$6+Premissas!$B$10)-G$5*'Kits calculo'!$D$4-IF(G$5&lt;79,INDEX('Frete 2026'!$B$6:$B$11,Premissas!$B$14),INDEX('Frete 2026'!$C$6:$G$11,Premissas!$B$14,MATCH(G$5,'Frete 2026'!$C$5:$G$5,1))))/G$5)</f>
        <v>0.301998332406893</v>
      </c>
      <c r="H10" s="78" t="n">
        <f aca="false">IF(H$5=0,0,(H$5-($A10*Premissas!$B$6+Premissas!$B$10)-H$5*'Kits calculo'!$D$4-IF(H$5&lt;79,INDEX('Frete 2026'!$B$6:$B$11,Premissas!$B$14),INDEX('Frete 2026'!$C$6:$G$11,Premissas!$B$14,MATCH(H$5,'Frete 2026'!$C$5:$G$5,1))))/H$5)</f>
        <v>0.342318659329665</v>
      </c>
      <c r="I10" s="78" t="n">
        <f aca="false">IF(I$5=0,0,(I$5-($A10*Premissas!$B$6+Premissas!$B$10)-I$5*'Kits calculo'!$D$4-IF(I$5&lt;79,INDEX('Frete 2026'!$B$6:$B$11,Premissas!$B$14),INDEX('Frete 2026'!$C$6:$G$11,Premissas!$B$14,MATCH(I$5,'Frete 2026'!$C$5:$G$5,1))))/I$5)</f>
        <v>0.365527512505684</v>
      </c>
    </row>
    <row r="11" customFormat="false" ht="15" hidden="false" customHeight="false" outlineLevel="0" collapsed="false">
      <c r="A11" s="62" t="n">
        <v>18</v>
      </c>
      <c r="B11" s="78" t="n">
        <f aca="false">IF(B$5=0,0,(B$5-($A11*Premissas!$B$6+Premissas!$B$10)-B$5*'Kits calculo'!$D$4-IF(B$5&lt;79,INDEX('Frete 2026'!$B$6:$B$11,Premissas!$B$14),INDEX('Frete 2026'!$C$6:$G$11,Premissas!$B$14,MATCH(B$5,'Frete 2026'!$C$5:$G$5,1))))/B$5)</f>
        <v>0.117240184757506</v>
      </c>
      <c r="C11" s="78" t="n">
        <f aca="false">IF(C$5=0,0,(C$5-($A11*Premissas!$B$6+Premissas!$B$10)-C$5*'Kits calculo'!$D$4-IF(C$5&lt;79,INDEX('Frete 2026'!$B$6:$B$11,Premissas!$B$14),INDEX('Frete 2026'!$C$6:$G$11,Premissas!$B$14,MATCH(C$5,'Frete 2026'!$C$5:$G$5,1))))/C$5)</f>
        <v>0.159253037884203</v>
      </c>
      <c r="D11" s="78" t="n">
        <f aca="false">IF(D$5=0,0,(D$5-($A11*Premissas!$B$6+Premissas!$B$10)-D$5*'Kits calculo'!$D$4-IF(D$5&lt;79,INDEX('Frete 2026'!$B$6:$B$11,Premissas!$B$14),INDEX('Frete 2026'!$C$6:$G$11,Premissas!$B$14,MATCH(D$5,'Frete 2026'!$C$5:$G$5,1))))/D$5)</f>
        <v>0.195660440293529</v>
      </c>
      <c r="E11" s="78" t="n">
        <f aca="false">IF(E$5=0,0,(E$5-($A11*Premissas!$B$6+Premissas!$B$10)-E$5*'Kits calculo'!$D$4-IF(E$5&lt;79,INDEX('Frete 2026'!$B$6:$B$11,Premissas!$B$14),INDEX('Frete 2026'!$C$6:$G$11,Premissas!$B$14,MATCH(E$5,'Frete 2026'!$C$5:$G$5,1))))/E$5)</f>
        <v>0.214068167604753</v>
      </c>
      <c r="F11" s="78" t="n">
        <f aca="false">IF(F$5=0,0,(F$5-($A11*Premissas!$B$6+Premissas!$B$10)-F$5*'Kits calculo'!$D$4-IF(F$5&lt;79,INDEX('Frete 2026'!$B$6:$B$11,Premissas!$B$14),INDEX('Frete 2026'!$C$6:$G$11,Premissas!$B$14,MATCH(F$5,'Frete 2026'!$C$5:$G$5,1))))/F$5)</f>
        <v>0.242963507945851</v>
      </c>
      <c r="G11" s="78" t="n">
        <f aca="false">IF(G$5=0,0,(G$5-($A11*Premissas!$B$6+Premissas!$B$10)-G$5*'Kits calculo'!$D$4-IF(G$5&lt;79,INDEX('Frete 2026'!$B$6:$B$11,Premissas!$B$14),INDEX('Frete 2026'!$C$6:$G$11,Premissas!$B$14,MATCH(G$5,'Frete 2026'!$C$5:$G$5,1))))/G$5)</f>
        <v>0.268646470261256</v>
      </c>
      <c r="H11" s="78" t="n">
        <f aca="false">IF(H$5=0,0,(H$5-($A11*Premissas!$B$6+Premissas!$B$10)-H$5*'Kits calculo'!$D$4-IF(H$5&lt;79,INDEX('Frete 2026'!$B$6:$B$11,Premissas!$B$14),INDEX('Frete 2026'!$C$6:$G$11,Premissas!$B$14,MATCH(H$5,'Frete 2026'!$C$5:$G$5,1))))/H$5)</f>
        <v>0.312303651825913</v>
      </c>
      <c r="I11" s="78" t="n">
        <f aca="false">IF(I$5=0,0,(I$5-($A11*Premissas!$B$6+Premissas!$B$10)-I$5*'Kits calculo'!$D$4-IF(I$5&lt;79,INDEX('Frete 2026'!$B$6:$B$11,Premissas!$B$14),INDEX('Frete 2026'!$C$6:$G$11,Premissas!$B$14,MATCH(I$5,'Frete 2026'!$C$5:$G$5,1))))/I$5)</f>
        <v>0.338242382901319</v>
      </c>
    </row>
    <row r="12" customFormat="false" ht="15" hidden="false" customHeight="false" outlineLevel="0" collapsed="false">
      <c r="A12" s="62" t="n">
        <v>20.52</v>
      </c>
      <c r="B12" s="78" t="n">
        <f aca="false">IF(B$5=0,0,(B$5-($A12*Premissas!$B$6+Premissas!$B$10)-B$5*'Kits calculo'!$D$4-IF(B$5&lt;79,INDEX('Frete 2026'!$B$6:$B$11,Premissas!$B$14),INDEX('Frete 2026'!$C$6:$G$11,Premissas!$B$14,MATCH(B$5,'Frete 2026'!$C$5:$G$5,1))))/B$5)</f>
        <v>0.0590415704387991</v>
      </c>
      <c r="C12" s="78" t="n">
        <f aca="false">IF(C$5=0,0,(C$5-($A12*Premissas!$B$6+Premissas!$B$10)-C$5*'Kits calculo'!$D$4-IF(C$5&lt;79,INDEX('Frete 2026'!$B$6:$B$11,Premissas!$B$14),INDEX('Frete 2026'!$C$6:$G$11,Premissas!$B$14,MATCH(C$5,'Frete 2026'!$C$5:$G$5,1))))/C$5)</f>
        <v>0.105214438884918</v>
      </c>
      <c r="D12" s="78" t="n">
        <f aca="false">IF(D$5=0,0,(D$5-($A12*Premissas!$B$6+Premissas!$B$10)-D$5*'Kits calculo'!$D$4-IF(D$5&lt;79,INDEX('Frete 2026'!$B$6:$B$11,Premissas!$B$14),INDEX('Frete 2026'!$C$6:$G$11,Premissas!$B$14,MATCH(D$5,'Frete 2026'!$C$5:$G$5,1))))/D$5)</f>
        <v>0.145226817878586</v>
      </c>
      <c r="E12" s="78" t="n">
        <f aca="false">IF(E$5=0,0,(E$5-($A12*Premissas!$B$6+Premissas!$B$10)-E$5*'Kits calculo'!$D$4-IF(E$5&lt;79,INDEX('Frete 2026'!$B$6:$B$11,Premissas!$B$14),INDEX('Frete 2026'!$C$6:$G$11,Premissas!$B$14,MATCH(E$5,'Frete 2026'!$C$5:$G$5,1))))/E$5)</f>
        <v>0.166788617886179</v>
      </c>
      <c r="F12" s="78" t="n">
        <f aca="false">IF(F$5=0,0,(F$5-($A12*Premissas!$B$6+Premissas!$B$10)-F$5*'Kits calculo'!$D$4-IF(F$5&lt;79,INDEX('Frete 2026'!$B$6:$B$11,Premissas!$B$14),INDEX('Frete 2026'!$C$6:$G$11,Premissas!$B$14,MATCH(F$5,'Frete 2026'!$C$5:$G$5,1))))/F$5)</f>
        <v>0.198466745144202</v>
      </c>
      <c r="G12" s="78" t="n">
        <f aca="false">IF(G$5=0,0,(G$5-($A12*Premissas!$B$6+Premissas!$B$10)-G$5*'Kits calculo'!$D$4-IF(G$5&lt;79,INDEX('Frete 2026'!$B$6:$B$11,Premissas!$B$14),INDEX('Frete 2026'!$C$6:$G$11,Premissas!$B$14,MATCH(G$5,'Frete 2026'!$C$5:$G$5,1))))/G$5)</f>
        <v>0.226623123957754</v>
      </c>
      <c r="H12" s="78" t="n">
        <f aca="false">IF(H$5=0,0,(H$5-($A12*Premissas!$B$6+Premissas!$B$10)-H$5*'Kits calculo'!$D$4-IF(H$5&lt;79,INDEX('Frete 2026'!$B$6:$B$11,Premissas!$B$14),INDEX('Frete 2026'!$C$6:$G$11,Premissas!$B$14,MATCH(H$5,'Frete 2026'!$C$5:$G$5,1))))/H$5)</f>
        <v>0.274484742371186</v>
      </c>
      <c r="I12" s="78" t="n">
        <f aca="false">IF(I$5=0,0,(I$5-($A12*Premissas!$B$6+Premissas!$B$10)-I$5*'Kits calculo'!$D$4-IF(I$5&lt;79,INDEX('Frete 2026'!$B$6:$B$11,Premissas!$B$14),INDEX('Frete 2026'!$C$6:$G$11,Premissas!$B$14,MATCH(I$5,'Frete 2026'!$C$5:$G$5,1))))/I$5)</f>
        <v>0.303863119599818</v>
      </c>
    </row>
    <row r="13" customFormat="false" ht="15" hidden="false" customHeight="false" outlineLevel="0" collapsed="false">
      <c r="A13" s="62" t="n">
        <v>22</v>
      </c>
      <c r="B13" s="78" t="n">
        <f aca="false">IF(B$5=0,0,(B$5-($A13*Premissas!$B$6+Premissas!$B$10)-B$5*'Kits calculo'!$D$4-IF(B$5&lt;79,INDEX('Frete 2026'!$B$6:$B$11,Premissas!$B$14),INDEX('Frete 2026'!$C$6:$G$11,Premissas!$B$14,MATCH(B$5,'Frete 2026'!$C$5:$G$5,1))))/B$5)</f>
        <v>0.0248614318706698</v>
      </c>
      <c r="C13" s="78" t="n">
        <f aca="false">IF(C$5=0,0,(C$5-($A13*Premissas!$B$6+Premissas!$B$10)-C$5*'Kits calculo'!$D$4-IF(C$5&lt;79,INDEX('Frete 2026'!$B$6:$B$11,Premissas!$B$14),INDEX('Frete 2026'!$C$6:$G$11,Premissas!$B$14,MATCH(C$5,'Frete 2026'!$C$5:$G$5,1))))/C$5)</f>
        <v>0.0734774839170837</v>
      </c>
      <c r="D13" s="78" t="n">
        <f aca="false">IF(D$5=0,0,(D$5-($A13*Premissas!$B$6+Premissas!$B$10)-D$5*'Kits calculo'!$D$4-IF(D$5&lt;79,INDEX('Frete 2026'!$B$6:$B$11,Premissas!$B$14),INDEX('Frete 2026'!$C$6:$G$11,Premissas!$B$14,MATCH(D$5,'Frete 2026'!$C$5:$G$5,1))))/D$5)</f>
        <v>0.115607071380921</v>
      </c>
      <c r="E13" s="78" t="n">
        <f aca="false">IF(E$5=0,0,(E$5-($A13*Premissas!$B$6+Premissas!$B$10)-E$5*'Kits calculo'!$D$4-IF(E$5&lt;79,INDEX('Frete 2026'!$B$6:$B$11,Premissas!$B$14),INDEX('Frete 2026'!$C$6:$G$11,Premissas!$B$14,MATCH(E$5,'Frete 2026'!$C$5:$G$5,1))))/E$5)</f>
        <v>0.139021263289556</v>
      </c>
      <c r="F13" s="78" t="n">
        <f aca="false">IF(F$5=0,0,(F$5-($A13*Premissas!$B$6+Premissas!$B$10)-F$5*'Kits calculo'!$D$4-IF(F$5&lt;79,INDEX('Frete 2026'!$B$6:$B$11,Premissas!$B$14),INDEX('Frete 2026'!$C$6:$G$11,Premissas!$B$14,MATCH(F$5,'Frete 2026'!$C$5:$G$5,1))))/F$5)</f>
        <v>0.172333725721012</v>
      </c>
      <c r="G13" s="78" t="n">
        <f aca="false">IF(G$5=0,0,(G$5-($A13*Premissas!$B$6+Premissas!$B$10)-G$5*'Kits calculo'!$D$4-IF(G$5&lt;79,INDEX('Frete 2026'!$B$6:$B$11,Premissas!$B$14),INDEX('Frete 2026'!$C$6:$G$11,Premissas!$B$14,MATCH(G$5,'Frete 2026'!$C$5:$G$5,1))))/G$5)</f>
        <v>0.201942745969983</v>
      </c>
      <c r="H13" s="78" t="n">
        <f aca="false">IF(H$5=0,0,(H$5-($A13*Premissas!$B$6+Premissas!$B$10)-H$5*'Kits calculo'!$D$4-IF(H$5&lt;79,INDEX('Frete 2026'!$B$6:$B$11,Premissas!$B$14),INDEX('Frete 2026'!$C$6:$G$11,Premissas!$B$14,MATCH(H$5,'Frete 2026'!$C$5:$G$5,1))))/H$5)</f>
        <v>0.252273636818409</v>
      </c>
      <c r="I13" s="78" t="n">
        <f aca="false">IF(I$5=0,0,(I$5-($A13*Premissas!$B$6+Premissas!$B$10)-I$5*'Kits calculo'!$D$4-IF(I$5&lt;79,INDEX('Frete 2026'!$B$6:$B$11,Premissas!$B$14),INDEX('Frete 2026'!$C$6:$G$11,Premissas!$B$14,MATCH(I$5,'Frete 2026'!$C$5:$G$5,1))))/I$5)</f>
        <v>0.283672123692588</v>
      </c>
    </row>
    <row r="14" customFormat="false" ht="15" hidden="false" customHeight="false" outlineLevel="0" collapsed="false">
      <c r="A14" s="62" t="n">
        <v>25</v>
      </c>
      <c r="B14" s="78" t="n">
        <f aca="false">IF(B$5=0,0,(B$5-($A14*Premissas!$B$6+Premissas!$B$10)-B$5*'Kits calculo'!$D$4-IF(B$5&lt;79,INDEX('Frete 2026'!$B$6:$B$11,Premissas!$B$14),INDEX('Frete 2026'!$C$6:$G$11,Premissas!$B$14,MATCH(B$5,'Frete 2026'!$C$5:$G$5,1))))/B$5)</f>
        <v>-0.0444226327944573</v>
      </c>
      <c r="C14" s="78" t="n">
        <f aca="false">IF(C$5=0,0,(C$5-($A14*Premissas!$B$6+Premissas!$B$10)-C$5*'Kits calculo'!$D$4-IF(C$5&lt;79,INDEX('Frete 2026'!$B$6:$B$11,Premissas!$B$14),INDEX('Frete 2026'!$C$6:$G$11,Premissas!$B$14,MATCH(C$5,'Frete 2026'!$C$5:$G$5,1))))/C$5)</f>
        <v>0.00914581844174415</v>
      </c>
      <c r="D14" s="78" t="n">
        <f aca="false">IF(D$5=0,0,(D$5-($A14*Premissas!$B$6+Premissas!$B$10)-D$5*'Kits calculo'!$D$4-IF(D$5&lt;79,INDEX('Frete 2026'!$B$6:$B$11,Premissas!$B$14),INDEX('Frete 2026'!$C$6:$G$11,Premissas!$B$14,MATCH(D$5,'Frete 2026'!$C$5:$G$5,1))))/D$5)</f>
        <v>0.0555670446964643</v>
      </c>
      <c r="E14" s="78" t="n">
        <f aca="false">IF(E$5=0,0,(E$5-($A14*Premissas!$B$6+Premissas!$B$10)-E$5*'Kits calculo'!$D$4-IF(E$5&lt;79,INDEX('Frete 2026'!$B$6:$B$11,Premissas!$B$14),INDEX('Frete 2026'!$C$6:$G$11,Premissas!$B$14,MATCH(E$5,'Frete 2026'!$C$5:$G$5,1))))/E$5)</f>
        <v>0.0827360850531583</v>
      </c>
      <c r="F14" s="78" t="n">
        <f aca="false">IF(F$5=0,0,(F$5-($A14*Premissas!$B$6+Premissas!$B$10)-F$5*'Kits calculo'!$D$4-IF(F$5&lt;79,INDEX('Frete 2026'!$B$6:$B$11,Premissas!$B$14),INDEX('Frete 2026'!$C$6:$G$11,Premissas!$B$14,MATCH(F$5,'Frete 2026'!$C$5:$G$5,1))))/F$5)</f>
        <v>0.119361389052384</v>
      </c>
      <c r="G14" s="78" t="n">
        <f aca="false">IF(G$5=0,0,(G$5-($A14*Premissas!$B$6+Premissas!$B$10)-G$5*'Kits calculo'!$D$4-IF(G$5&lt;79,INDEX('Frete 2026'!$B$6:$B$11,Premissas!$B$14),INDEX('Frete 2026'!$C$6:$G$11,Premissas!$B$14,MATCH(G$5,'Frete 2026'!$C$5:$G$5,1))))/G$5)</f>
        <v>0.151914952751529</v>
      </c>
      <c r="H14" s="78" t="n">
        <f aca="false">IF(H$5=0,0,(H$5-($A14*Premissas!$B$6+Premissas!$B$10)-H$5*'Kits calculo'!$D$4-IF(H$5&lt;79,INDEX('Frete 2026'!$B$6:$B$11,Premissas!$B$14),INDEX('Frete 2026'!$C$6:$G$11,Premissas!$B$14,MATCH(H$5,'Frete 2026'!$C$5:$G$5,1))))/H$5)</f>
        <v>0.207251125562781</v>
      </c>
      <c r="I14" s="78" t="n">
        <f aca="false">IF(I$5=0,0,(I$5-($A14*Premissas!$B$6+Premissas!$B$10)-I$5*'Kits calculo'!$D$4-IF(I$5&lt;79,INDEX('Frete 2026'!$B$6:$B$11,Premissas!$B$14),INDEX('Frete 2026'!$C$6:$G$11,Premissas!$B$14,MATCH(I$5,'Frete 2026'!$C$5:$G$5,1))))/I$5)</f>
        <v>0.242744429286039</v>
      </c>
    </row>
    <row r="15" customFormat="false" ht="15" hidden="false" customHeight="false" outlineLevel="0" collapsed="false">
      <c r="A15" s="62" t="n">
        <v>28</v>
      </c>
      <c r="B15" s="78" t="n">
        <f aca="false">IF(B$5=0,0,(B$5-($A15*Premissas!$B$6+Premissas!$B$10)-B$5*'Kits calculo'!$D$4-IF(B$5&lt;79,INDEX('Frete 2026'!$B$6:$B$11,Premissas!$B$14),INDEX('Frete 2026'!$C$6:$G$11,Premissas!$B$14,MATCH(B$5,'Frete 2026'!$C$5:$G$5,1))))/B$5)</f>
        <v>-0.113706697459584</v>
      </c>
      <c r="C15" s="78" t="n">
        <f aca="false">IF(C$5=0,0,(C$5-($A15*Premissas!$B$6+Premissas!$B$10)-C$5*'Kits calculo'!$D$4-IF(C$5&lt;79,INDEX('Frete 2026'!$B$6:$B$11,Premissas!$B$14),INDEX('Frete 2026'!$C$6:$G$11,Premissas!$B$14,MATCH(C$5,'Frete 2026'!$C$5:$G$5,1))))/C$5)</f>
        <v>-0.0551858470335954</v>
      </c>
      <c r="D15" s="78" t="n">
        <f aca="false">IF(D$5=0,0,(D$5-($A15*Premissas!$B$6+Premissas!$B$10)-D$5*'Kits calculo'!$D$4-IF(D$5&lt;79,INDEX('Frete 2026'!$B$6:$B$11,Premissas!$B$14),INDEX('Frete 2026'!$C$6:$G$11,Premissas!$B$14,MATCH(D$5,'Frete 2026'!$C$5:$G$5,1))))/D$5)</f>
        <v>-0.00447298198799198</v>
      </c>
      <c r="E15" s="78" t="n">
        <f aca="false">IF(E$5=0,0,(E$5-($A15*Premissas!$B$6+Premissas!$B$10)-E$5*'Kits calculo'!$D$4-IF(E$5&lt;79,INDEX('Frete 2026'!$B$6:$B$11,Premissas!$B$14),INDEX('Frete 2026'!$C$6:$G$11,Premissas!$B$14,MATCH(E$5,'Frete 2026'!$C$5:$G$5,1))))/E$5)</f>
        <v>0.0264509068167605</v>
      </c>
      <c r="F15" s="78" t="n">
        <f aca="false">IF(F$5=0,0,(F$5-($A15*Premissas!$B$6+Premissas!$B$10)-F$5*'Kits calculo'!$D$4-IF(F$5&lt;79,INDEX('Frete 2026'!$B$6:$B$11,Premissas!$B$14),INDEX('Frete 2026'!$C$6:$G$11,Premissas!$B$14,MATCH(F$5,'Frete 2026'!$C$5:$G$5,1))))/F$5)</f>
        <v>0.0663890523837552</v>
      </c>
      <c r="G15" s="78" t="n">
        <f aca="false">IF(G$5=0,0,(G$5-($A15*Premissas!$B$6+Premissas!$B$10)-G$5*'Kits calculo'!$D$4-IF(G$5&lt;79,INDEX('Frete 2026'!$B$6:$B$11,Premissas!$B$14),INDEX('Frete 2026'!$C$6:$G$11,Premissas!$B$14,MATCH(G$5,'Frete 2026'!$C$5:$G$5,1))))/G$5)</f>
        <v>0.101887159533074</v>
      </c>
      <c r="H15" s="78" t="n">
        <f aca="false">IF(H$5=0,0,(H$5-($A15*Premissas!$B$6+Premissas!$B$10)-H$5*'Kits calculo'!$D$4-IF(H$5&lt;79,INDEX('Frete 2026'!$B$6:$B$11,Premissas!$B$14),INDEX('Frete 2026'!$C$6:$G$11,Premissas!$B$14,MATCH(H$5,'Frete 2026'!$C$5:$G$5,1))))/H$5)</f>
        <v>0.162228614307154</v>
      </c>
      <c r="I15" s="78" t="n">
        <f aca="false">IF(I$5=0,0,(I$5-($A15*Premissas!$B$6+Premissas!$B$10)-I$5*'Kits calculo'!$D$4-IF(I$5&lt;79,INDEX('Frete 2026'!$B$6:$B$11,Premissas!$B$14),INDEX('Frete 2026'!$C$6:$G$11,Premissas!$B$14,MATCH(I$5,'Frete 2026'!$C$5:$G$5,1))))/I$5)</f>
        <v>0.201816734879491</v>
      </c>
    </row>
    <row r="16" customFormat="false" ht="15" hidden="false" customHeight="false" outlineLevel="0" collapsed="false">
      <c r="A16" s="62" t="n">
        <v>31.83</v>
      </c>
      <c r="B16" s="78" t="n">
        <f aca="false">IF(B$5=0,0,(B$5-($A16*Premissas!$B$6+Premissas!$B$10)-B$5*'Kits calculo'!$D$4-IF(B$5&lt;79,INDEX('Frete 2026'!$B$6:$B$11,Premissas!$B$14),INDEX('Frete 2026'!$C$6:$G$11,Premissas!$B$14,MATCH(B$5,'Frete 2026'!$C$5:$G$5,1))))/B$5)</f>
        <v>-0.20215935334873</v>
      </c>
      <c r="C16" s="78" t="n">
        <f aca="false">IF(C$5=0,0,(C$5-($A16*Premissas!$B$6+Premissas!$B$10)-C$5*'Kits calculo'!$D$4-IF(C$5&lt;79,INDEX('Frete 2026'!$B$6:$B$11,Premissas!$B$14),INDEX('Frete 2026'!$C$6:$G$11,Premissas!$B$14,MATCH(C$5,'Frete 2026'!$C$5:$G$5,1))))/C$5)</f>
        <v>-0.137315939957112</v>
      </c>
      <c r="D16" s="78" t="n">
        <f aca="false">IF(D$5=0,0,(D$5-($A16*Premissas!$B$6+Premissas!$B$10)-D$5*'Kits calculo'!$D$4-IF(D$5&lt;79,INDEX('Frete 2026'!$B$6:$B$11,Premissas!$B$14),INDEX('Frete 2026'!$C$6:$G$11,Premissas!$B$14,MATCH(D$5,'Frete 2026'!$C$5:$G$5,1))))/D$5)</f>
        <v>-0.0811240827218145</v>
      </c>
      <c r="E16" s="78" t="n">
        <f aca="false">IF(E$5=0,0,(E$5-($A16*Premissas!$B$6+Premissas!$B$10)-E$5*'Kits calculo'!$D$4-IF(E$5&lt;79,INDEX('Frete 2026'!$B$6:$B$11,Premissas!$B$14),INDEX('Frete 2026'!$C$6:$G$11,Premissas!$B$14,MATCH(E$5,'Frete 2026'!$C$5:$G$5,1))))/E$5)</f>
        <v>-0.0454065040650406</v>
      </c>
      <c r="F16" s="78" t="n">
        <f aca="false">IF(F$5=0,0,(F$5-($A16*Premissas!$B$6+Premissas!$B$10)-F$5*'Kits calculo'!$D$4-IF(F$5&lt;79,INDEX('Frete 2026'!$B$6:$B$11,Premissas!$B$14),INDEX('Frete 2026'!$C$6:$G$11,Premissas!$B$14,MATCH(F$5,'Frete 2026'!$C$5:$G$5,1))))/F$5)</f>
        <v>-0.0012389640965273</v>
      </c>
      <c r="G16" s="78" t="n">
        <f aca="false">IF(G$5=0,0,(G$5-($A16*Premissas!$B$6+Premissas!$B$10)-G$5*'Kits calculo'!$D$4-IF(G$5&lt;79,INDEX('Frete 2026'!$B$6:$B$11,Premissas!$B$14),INDEX('Frete 2026'!$C$6:$G$11,Premissas!$B$14,MATCH(G$5,'Frete 2026'!$C$5:$G$5,1))))/G$5)</f>
        <v>0.0380183435241802</v>
      </c>
      <c r="H16" s="78" t="n">
        <f aca="false">IF(H$5=0,0,(H$5-($A16*Premissas!$B$6+Premissas!$B$10)-H$5*'Kits calculo'!$D$4-IF(H$5&lt;79,INDEX('Frete 2026'!$B$6:$B$11,Premissas!$B$14),INDEX('Frete 2026'!$C$6:$G$11,Premissas!$B$14,MATCH(H$5,'Frete 2026'!$C$5:$G$5,1))))/H$5)</f>
        <v>0.104749874937469</v>
      </c>
      <c r="I16" s="78" t="n">
        <f aca="false">IF(I$5=0,0,(I$5-($A16*Premissas!$B$6+Premissas!$B$10)-I$5*'Kits calculo'!$D$4-IF(I$5&lt;79,INDEX('Frete 2026'!$B$6:$B$11,Premissas!$B$14),INDEX('Frete 2026'!$C$6:$G$11,Premissas!$B$14,MATCH(I$5,'Frete 2026'!$C$5:$G$5,1))))/I$5)</f>
        <v>0.149565711687131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30" hidden="false" customHeight="true" outlineLevel="0" collapsed="false">
      <c r="A18" s="38" t="s">
        <v>613</v>
      </c>
      <c r="B18" s="38"/>
      <c r="C18" s="38"/>
      <c r="D18" s="38"/>
      <c r="E18" s="38"/>
      <c r="F18" s="38"/>
      <c r="G18" s="38"/>
      <c r="H18" s="38"/>
      <c r="I18" s="38"/>
    </row>
  </sheetData>
  <mergeCells count="1">
    <mergeCell ref="A18:I18"/>
  </mergeCells>
  <conditionalFormatting sqref="B6:I16">
    <cfRule type="cellIs" priority="2" operator="lessThan" aboveAverage="0" equalAverage="0" bottom="0" percent="0" rank="0" text="" dxfId="1">
      <formula>0</formula>
    </cfRule>
    <cfRule type="cellIs" priority="3" operator="between" aboveAverage="0" equalAverage="0" bottom="0" percent="0" rank="0" text="" dxfId="0">
      <formula>0</formula>
      <formula>Premissas!$B$18-0.0001</formula>
    </cfRule>
    <cfRule type="cellIs" priority="4" operator="greaterThanOrEqual" aboveAverage="0" equalAverage="0" bottom="0" percent="0" rank="0" text="" dxfId="2">
      <formula>Premissas!$B$18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Kits de camisetas · Rev. 02 · Blumenau, outubro de 2026&amp;R&amp;8 &amp;A · 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3" min="2" style="0" width="15"/>
  </cols>
  <sheetData>
    <row r="1" customFormat="false" ht="17.35" hidden="false" customHeight="false" outlineLevel="0" collapsed="false">
      <c r="A1" s="1" t="s">
        <v>614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615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A3" s="6" t="s">
        <v>616</v>
      </c>
      <c r="B3" s="79" t="n">
        <v>1</v>
      </c>
      <c r="C3" s="38" t="s">
        <v>617</v>
      </c>
      <c r="D3" s="38"/>
      <c r="E3" s="38"/>
      <c r="F3" s="38"/>
      <c r="G3" s="38"/>
      <c r="H3" s="38"/>
      <c r="I3" s="38"/>
      <c r="J3" s="38"/>
      <c r="K3" s="38"/>
      <c r="L3" s="38"/>
      <c r="M3" s="38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30" hidden="false" customHeight="true" outlineLevel="0" collapsed="false">
      <c r="A5" s="31" t="s">
        <v>618</v>
      </c>
      <c r="B5" s="32" t="s">
        <v>619</v>
      </c>
      <c r="C5" s="32" t="s">
        <v>620</v>
      </c>
      <c r="D5" s="32" t="s">
        <v>621</v>
      </c>
      <c r="E5" s="32" t="s">
        <v>622</v>
      </c>
      <c r="F5" s="32" t="s">
        <v>623</v>
      </c>
      <c r="G5" s="32" t="s">
        <v>624</v>
      </c>
      <c r="H5" s="32" t="s">
        <v>299</v>
      </c>
      <c r="I5" s="32" t="s">
        <v>302</v>
      </c>
      <c r="J5" s="32" t="s">
        <v>625</v>
      </c>
      <c r="K5" s="32" t="s">
        <v>626</v>
      </c>
      <c r="L5" s="32" t="s">
        <v>627</v>
      </c>
      <c r="M5" s="32" t="s">
        <v>628</v>
      </c>
    </row>
    <row r="6" customFormat="false" ht="15" hidden="false" customHeight="false" outlineLevel="0" collapsed="false">
      <c r="A6" s="80" t="n">
        <v>1</v>
      </c>
      <c r="B6" s="57" t="n">
        <v>40</v>
      </c>
      <c r="C6" s="57" t="n">
        <v>15</v>
      </c>
      <c r="D6" s="57" t="n">
        <v>10</v>
      </c>
      <c r="E6" s="20" t="n">
        <f aca="false">(B6+C6+D6)*$B$3</f>
        <v>65</v>
      </c>
      <c r="F6" s="81" t="n">
        <f aca="false">E6*Premissas!$B$15</f>
        <v>11043.5</v>
      </c>
      <c r="G6" s="81" t="n">
        <f aca="false">B6*$B$3*Calculadora!$B$15</f>
        <v>1348.78</v>
      </c>
      <c r="H6" s="81" t="n">
        <f aca="false">C6*$B$3*Calculadora!$C$15</f>
        <v>454.8225</v>
      </c>
      <c r="I6" s="81" t="n">
        <f aca="false">D6*$B$3*Calculadora!$D$15</f>
        <v>273.315</v>
      </c>
      <c r="J6" s="81" t="n">
        <f aca="false">SUM(G6:I6)</f>
        <v>2076.9175</v>
      </c>
      <c r="K6" s="82" t="n">
        <f aca="false">Premissas!$B$23</f>
        <v>13000</v>
      </c>
      <c r="L6" s="81" t="n">
        <f aca="false">J6-K6</f>
        <v>-10923.0825</v>
      </c>
      <c r="M6" s="83" t="n">
        <f aca="false">L6</f>
        <v>-10923.0825</v>
      </c>
    </row>
    <row r="7" customFormat="false" ht="15" hidden="false" customHeight="false" outlineLevel="0" collapsed="false">
      <c r="A7" s="80" t="n">
        <v>2</v>
      </c>
      <c r="B7" s="57" t="n">
        <v>70</v>
      </c>
      <c r="C7" s="57" t="n">
        <v>30</v>
      </c>
      <c r="D7" s="57" t="n">
        <v>25</v>
      </c>
      <c r="E7" s="20" t="n">
        <f aca="false">(B7+C7+D7)*$B$3</f>
        <v>125</v>
      </c>
      <c r="F7" s="81" t="n">
        <f aca="false">E7*Premissas!$B$15</f>
        <v>21237.5</v>
      </c>
      <c r="G7" s="81" t="n">
        <f aca="false">B7*$B$3*Calculadora!$B$15</f>
        <v>2360.365</v>
      </c>
      <c r="H7" s="81" t="n">
        <f aca="false">C7*$B$3*Calculadora!$C$15</f>
        <v>909.645</v>
      </c>
      <c r="I7" s="81" t="n">
        <f aca="false">D7*$B$3*Calculadora!$D$15</f>
        <v>683.2875</v>
      </c>
      <c r="J7" s="81" t="n">
        <f aca="false">SUM(G7:I7)</f>
        <v>3953.2975</v>
      </c>
      <c r="K7" s="82" t="n">
        <f aca="false">Premissas!$B$23</f>
        <v>13000</v>
      </c>
      <c r="L7" s="81" t="n">
        <f aca="false">J7-K7</f>
        <v>-9046.7025</v>
      </c>
      <c r="M7" s="83" t="n">
        <f aca="false">M6+L7</f>
        <v>-19969.785</v>
      </c>
    </row>
    <row r="8" customFormat="false" ht="15" hidden="false" customHeight="false" outlineLevel="0" collapsed="false">
      <c r="A8" s="80" t="n">
        <v>3</v>
      </c>
      <c r="B8" s="57" t="n">
        <v>110</v>
      </c>
      <c r="C8" s="57" t="n">
        <v>55</v>
      </c>
      <c r="D8" s="57" t="n">
        <v>50</v>
      </c>
      <c r="E8" s="20" t="n">
        <f aca="false">(B8+C8+D8)*$B$3</f>
        <v>215</v>
      </c>
      <c r="F8" s="81" t="n">
        <f aca="false">E8*Premissas!$B$15</f>
        <v>36528.5</v>
      </c>
      <c r="G8" s="81" t="n">
        <f aca="false">B8*$B$3*Calculadora!$B$15</f>
        <v>3709.145</v>
      </c>
      <c r="H8" s="81" t="n">
        <f aca="false">C8*$B$3*Calculadora!$C$15</f>
        <v>1667.6825</v>
      </c>
      <c r="I8" s="81" t="n">
        <f aca="false">D8*$B$3*Calculadora!$D$15</f>
        <v>1366.575</v>
      </c>
      <c r="J8" s="81" t="n">
        <f aca="false">SUM(G8:I8)</f>
        <v>6743.4025</v>
      </c>
      <c r="K8" s="82" t="n">
        <f aca="false">Premissas!$B$23</f>
        <v>13000</v>
      </c>
      <c r="L8" s="81" t="n">
        <f aca="false">J8-K8</f>
        <v>-6256.5975</v>
      </c>
      <c r="M8" s="83" t="n">
        <f aca="false">M7+L8</f>
        <v>-26226.3825</v>
      </c>
    </row>
    <row r="9" customFormat="false" ht="15" hidden="false" customHeight="false" outlineLevel="0" collapsed="false">
      <c r="A9" s="80" t="n">
        <v>4</v>
      </c>
      <c r="B9" s="57" t="n">
        <v>170</v>
      </c>
      <c r="C9" s="57" t="n">
        <v>90</v>
      </c>
      <c r="D9" s="57" t="n">
        <v>85</v>
      </c>
      <c r="E9" s="20" t="n">
        <f aca="false">(B9+C9+D9)*$B$3</f>
        <v>345</v>
      </c>
      <c r="F9" s="81" t="n">
        <f aca="false">E9*Premissas!$B$15</f>
        <v>58615.5</v>
      </c>
      <c r="G9" s="81" t="n">
        <f aca="false">B9*$B$3*Calculadora!$B$15</f>
        <v>5732.315</v>
      </c>
      <c r="H9" s="81" t="n">
        <f aca="false">C9*$B$3*Calculadora!$C$15</f>
        <v>2728.935</v>
      </c>
      <c r="I9" s="81" t="n">
        <f aca="false">D9*$B$3*Calculadora!$D$15</f>
        <v>2323.1775</v>
      </c>
      <c r="J9" s="81" t="n">
        <f aca="false">SUM(G9:I9)</f>
        <v>10784.4275</v>
      </c>
      <c r="K9" s="82" t="n">
        <f aca="false">Premissas!$B$23</f>
        <v>13000</v>
      </c>
      <c r="L9" s="81" t="n">
        <f aca="false">J9-K9</f>
        <v>-2215.5725</v>
      </c>
      <c r="M9" s="83" t="n">
        <f aca="false">M8+L9</f>
        <v>-28441.955</v>
      </c>
    </row>
    <row r="10" customFormat="false" ht="15" hidden="false" customHeight="false" outlineLevel="0" collapsed="false">
      <c r="A10" s="80" t="n">
        <v>5</v>
      </c>
      <c r="B10" s="57" t="n">
        <v>240</v>
      </c>
      <c r="C10" s="57" t="n">
        <v>130</v>
      </c>
      <c r="D10" s="57" t="n">
        <v>130</v>
      </c>
      <c r="E10" s="20" t="n">
        <f aca="false">(B10+C10+D10)*$B$3</f>
        <v>500</v>
      </c>
      <c r="F10" s="81" t="n">
        <f aca="false">E10*Premissas!$B$15</f>
        <v>84950</v>
      </c>
      <c r="G10" s="81" t="n">
        <f aca="false">B10*$B$3*Calculadora!$B$15</f>
        <v>8092.68</v>
      </c>
      <c r="H10" s="81" t="n">
        <f aca="false">C10*$B$3*Calculadora!$C$15</f>
        <v>3941.795</v>
      </c>
      <c r="I10" s="81" t="n">
        <f aca="false">D10*$B$3*Calculadora!$D$15</f>
        <v>3553.095</v>
      </c>
      <c r="J10" s="81" t="n">
        <f aca="false">SUM(G10:I10)</f>
        <v>15587.57</v>
      </c>
      <c r="K10" s="82" t="n">
        <f aca="false">Premissas!$B$23</f>
        <v>13000</v>
      </c>
      <c r="L10" s="81" t="n">
        <f aca="false">J10-K10</f>
        <v>2587.57</v>
      </c>
      <c r="M10" s="83" t="n">
        <f aca="false">M9+L10</f>
        <v>-25854.385</v>
      </c>
    </row>
    <row r="11" customFormat="false" ht="15" hidden="false" customHeight="false" outlineLevel="0" collapsed="false">
      <c r="A11" s="80" t="n">
        <v>6</v>
      </c>
      <c r="B11" s="57" t="n">
        <v>310</v>
      </c>
      <c r="C11" s="57" t="n">
        <v>175</v>
      </c>
      <c r="D11" s="57" t="n">
        <v>180</v>
      </c>
      <c r="E11" s="20" t="n">
        <f aca="false">(B11+C11+D11)*$B$3</f>
        <v>665</v>
      </c>
      <c r="F11" s="81" t="n">
        <f aca="false">E11*Premissas!$B$15</f>
        <v>112983.5</v>
      </c>
      <c r="G11" s="81" t="n">
        <f aca="false">B11*$B$3*Calculadora!$B$15</f>
        <v>10453.045</v>
      </c>
      <c r="H11" s="81" t="n">
        <f aca="false">C11*$B$3*Calculadora!$C$15</f>
        <v>5306.2625</v>
      </c>
      <c r="I11" s="81" t="n">
        <f aca="false">D11*$B$3*Calculadora!$D$15</f>
        <v>4919.67</v>
      </c>
      <c r="J11" s="81" t="n">
        <f aca="false">SUM(G11:I11)</f>
        <v>20678.9775</v>
      </c>
      <c r="K11" s="82" t="n">
        <f aca="false">Premissas!$B$23</f>
        <v>13000</v>
      </c>
      <c r="L11" s="81" t="n">
        <f aca="false">J11-K11</f>
        <v>7678.9775</v>
      </c>
      <c r="M11" s="83" t="n">
        <f aca="false">M10+L11</f>
        <v>-18175.4075</v>
      </c>
    </row>
    <row r="12" customFormat="false" ht="15" hidden="false" customHeight="false" outlineLevel="0" collapsed="false">
      <c r="A12" s="80" t="n">
        <v>7</v>
      </c>
      <c r="B12" s="57" t="n">
        <v>380</v>
      </c>
      <c r="C12" s="57" t="n">
        <v>220</v>
      </c>
      <c r="D12" s="57" t="n">
        <v>230</v>
      </c>
      <c r="E12" s="20" t="n">
        <f aca="false">(B12+C12+D12)*$B$3</f>
        <v>830</v>
      </c>
      <c r="F12" s="81" t="n">
        <f aca="false">E12*Premissas!$B$15</f>
        <v>141017</v>
      </c>
      <c r="G12" s="81" t="n">
        <f aca="false">B12*$B$3*Calculadora!$B$15</f>
        <v>12813.41</v>
      </c>
      <c r="H12" s="81" t="n">
        <f aca="false">C12*$B$3*Calculadora!$C$15</f>
        <v>6670.73</v>
      </c>
      <c r="I12" s="81" t="n">
        <f aca="false">D12*$B$3*Calculadora!$D$15</f>
        <v>6286.24499999999</v>
      </c>
      <c r="J12" s="81" t="n">
        <f aca="false">SUM(G12:I12)</f>
        <v>25770.385</v>
      </c>
      <c r="K12" s="82" t="n">
        <f aca="false">Premissas!$B$23</f>
        <v>13000</v>
      </c>
      <c r="L12" s="81" t="n">
        <f aca="false">J12-K12</f>
        <v>12770.385</v>
      </c>
      <c r="M12" s="83" t="n">
        <f aca="false">M11+L12</f>
        <v>-5405.02250000001</v>
      </c>
    </row>
    <row r="13" customFormat="false" ht="15" hidden="false" customHeight="false" outlineLevel="0" collapsed="false">
      <c r="A13" s="80" t="n">
        <v>8</v>
      </c>
      <c r="B13" s="57" t="n">
        <v>450</v>
      </c>
      <c r="C13" s="57" t="n">
        <v>265</v>
      </c>
      <c r="D13" s="57" t="n">
        <v>290</v>
      </c>
      <c r="E13" s="20" t="n">
        <f aca="false">(B13+C13+D13)*$B$3</f>
        <v>1005</v>
      </c>
      <c r="F13" s="81" t="n">
        <f aca="false">E13*Premissas!$B$15</f>
        <v>170749.5</v>
      </c>
      <c r="G13" s="81" t="n">
        <f aca="false">B13*$B$3*Calculadora!$B$15</f>
        <v>15173.775</v>
      </c>
      <c r="H13" s="81" t="n">
        <f aca="false">C13*$B$3*Calculadora!$C$15</f>
        <v>8035.1975</v>
      </c>
      <c r="I13" s="81" t="n">
        <f aca="false">D13*$B$3*Calculadora!$D$15</f>
        <v>7926.13499999999</v>
      </c>
      <c r="J13" s="81" t="n">
        <f aca="false">SUM(G13:I13)</f>
        <v>31135.1075</v>
      </c>
      <c r="K13" s="82" t="n">
        <f aca="false">Premissas!$B$23</f>
        <v>13000</v>
      </c>
      <c r="L13" s="81" t="n">
        <f aca="false">J13-K13</f>
        <v>18135.1075</v>
      </c>
      <c r="M13" s="83" t="n">
        <f aca="false">M12+L13</f>
        <v>12730.085</v>
      </c>
    </row>
    <row r="14" customFormat="false" ht="15" hidden="false" customHeight="false" outlineLevel="0" collapsed="false">
      <c r="A14" s="80" t="n">
        <v>9</v>
      </c>
      <c r="B14" s="57" t="n">
        <v>520</v>
      </c>
      <c r="C14" s="57" t="n">
        <v>310</v>
      </c>
      <c r="D14" s="57" t="n">
        <v>350</v>
      </c>
      <c r="E14" s="20" t="n">
        <f aca="false">(B14+C14+D14)*$B$3</f>
        <v>1180</v>
      </c>
      <c r="F14" s="81" t="n">
        <f aca="false">E14*Premissas!$B$15</f>
        <v>200482</v>
      </c>
      <c r="G14" s="81" t="n">
        <f aca="false">B14*$B$3*Calculadora!$B$15</f>
        <v>17534.14</v>
      </c>
      <c r="H14" s="81" t="n">
        <f aca="false">C14*$B$3*Calculadora!$C$15</f>
        <v>9399.665</v>
      </c>
      <c r="I14" s="81" t="n">
        <f aca="false">D14*$B$3*Calculadora!$D$15</f>
        <v>9566.02499999999</v>
      </c>
      <c r="J14" s="81" t="n">
        <f aca="false">SUM(G14:I14)</f>
        <v>36499.83</v>
      </c>
      <c r="K14" s="82" t="n">
        <f aca="false">Premissas!$B$23</f>
        <v>13000</v>
      </c>
      <c r="L14" s="81" t="n">
        <f aca="false">J14-K14</f>
        <v>23499.83</v>
      </c>
      <c r="M14" s="83" t="n">
        <f aca="false">M13+L14</f>
        <v>36229.915</v>
      </c>
    </row>
    <row r="15" customFormat="false" ht="15" hidden="false" customHeight="false" outlineLevel="0" collapsed="false">
      <c r="A15" s="80" t="n">
        <v>10</v>
      </c>
      <c r="B15" s="57" t="n">
        <v>600</v>
      </c>
      <c r="C15" s="57" t="n">
        <v>355</v>
      </c>
      <c r="D15" s="57" t="n">
        <v>410</v>
      </c>
      <c r="E15" s="20" t="n">
        <f aca="false">(B15+C15+D15)*$B$3</f>
        <v>1365</v>
      </c>
      <c r="F15" s="81" t="n">
        <f aca="false">E15*Premissas!$B$15</f>
        <v>231913.5</v>
      </c>
      <c r="G15" s="81" t="n">
        <f aca="false">B15*$B$3*Calculadora!$B$15</f>
        <v>20231.7</v>
      </c>
      <c r="H15" s="81" t="n">
        <f aca="false">C15*$B$3*Calculadora!$C$15</f>
        <v>10764.1325</v>
      </c>
      <c r="I15" s="81" t="n">
        <f aca="false">D15*$B$3*Calculadora!$D$15</f>
        <v>11205.915</v>
      </c>
      <c r="J15" s="81" t="n">
        <f aca="false">SUM(G15:I15)</f>
        <v>42201.7475</v>
      </c>
      <c r="K15" s="82" t="n">
        <f aca="false">Premissas!$B$23</f>
        <v>13000</v>
      </c>
      <c r="L15" s="81" t="n">
        <f aca="false">J15-K15</f>
        <v>29201.7475</v>
      </c>
      <c r="M15" s="83" t="n">
        <f aca="false">M14+L15</f>
        <v>65431.6625</v>
      </c>
    </row>
    <row r="16" customFormat="false" ht="15" hidden="false" customHeight="false" outlineLevel="0" collapsed="false">
      <c r="A16" s="80" t="n">
        <v>11</v>
      </c>
      <c r="B16" s="57" t="n">
        <v>700</v>
      </c>
      <c r="C16" s="57" t="n">
        <v>400</v>
      </c>
      <c r="D16" s="57" t="n">
        <v>470</v>
      </c>
      <c r="E16" s="20" t="n">
        <f aca="false">(B16+C16+D16)*$B$3</f>
        <v>1570</v>
      </c>
      <c r="F16" s="81" t="n">
        <f aca="false">E16*Premissas!$B$15</f>
        <v>266743</v>
      </c>
      <c r="G16" s="81" t="n">
        <f aca="false">B16*$B$3*Calculadora!$B$15</f>
        <v>23603.65</v>
      </c>
      <c r="H16" s="81" t="n">
        <f aca="false">C16*$B$3*Calculadora!$C$15</f>
        <v>12128.6</v>
      </c>
      <c r="I16" s="81" t="n">
        <f aca="false">D16*$B$3*Calculadora!$D$15</f>
        <v>12845.805</v>
      </c>
      <c r="J16" s="81" t="n">
        <f aca="false">SUM(G16:I16)</f>
        <v>48578.055</v>
      </c>
      <c r="K16" s="82" t="n">
        <f aca="false">Premissas!$B$23</f>
        <v>13000</v>
      </c>
      <c r="L16" s="81" t="n">
        <f aca="false">J16-K16</f>
        <v>35578.055</v>
      </c>
      <c r="M16" s="83" t="n">
        <f aca="false">M15+L16</f>
        <v>101009.7175</v>
      </c>
    </row>
    <row r="17" customFormat="false" ht="15" hidden="false" customHeight="false" outlineLevel="0" collapsed="false">
      <c r="A17" s="80" t="n">
        <v>12</v>
      </c>
      <c r="B17" s="57" t="n">
        <v>820</v>
      </c>
      <c r="C17" s="57" t="n">
        <v>450</v>
      </c>
      <c r="D17" s="57" t="n">
        <v>540</v>
      </c>
      <c r="E17" s="20" t="n">
        <f aca="false">(B17+C17+D17)*$B$3</f>
        <v>1810</v>
      </c>
      <c r="F17" s="81" t="n">
        <f aca="false">E17*Premissas!$B$15</f>
        <v>307519</v>
      </c>
      <c r="G17" s="81" t="n">
        <f aca="false">B17*$B$3*Calculadora!$B$15</f>
        <v>27649.99</v>
      </c>
      <c r="H17" s="81" t="n">
        <f aca="false">C17*$B$3*Calculadora!$C$15</f>
        <v>13644.675</v>
      </c>
      <c r="I17" s="81" t="n">
        <f aca="false">D17*$B$3*Calculadora!$D$15</f>
        <v>14759.01</v>
      </c>
      <c r="J17" s="81" t="n">
        <f aca="false">SUM(G17:I17)</f>
        <v>56053.675</v>
      </c>
      <c r="K17" s="82" t="n">
        <f aca="false">Premissas!$B$23</f>
        <v>13000</v>
      </c>
      <c r="L17" s="81" t="n">
        <f aca="false">J17-K17</f>
        <v>43053.675</v>
      </c>
      <c r="M17" s="83" t="n">
        <f aca="false">M16+L17</f>
        <v>144063.3925</v>
      </c>
    </row>
    <row r="18" customFormat="false" ht="15" hidden="false" customHeight="false" outlineLevel="0" collapsed="false">
      <c r="A18" s="6" t="s">
        <v>629</v>
      </c>
      <c r="B18" s="84" t="n">
        <f aca="false">SUM(B6:B17)</f>
        <v>4410</v>
      </c>
      <c r="C18" s="84" t="n">
        <f aca="false">SUM(C6:C17)</f>
        <v>2495</v>
      </c>
      <c r="D18" s="84" t="n">
        <f aca="false">SUM(D6:D17)</f>
        <v>2770</v>
      </c>
      <c r="E18" s="84" t="n">
        <f aca="false">SUM(E6:E17)</f>
        <v>9675</v>
      </c>
      <c r="F18" s="85" t="n">
        <f aca="false">SUM(F6:F17)</f>
        <v>1643782.5</v>
      </c>
      <c r="G18" s="85" t="n">
        <f aca="false">SUM(G6:G17)</f>
        <v>148702.995</v>
      </c>
      <c r="H18" s="85" t="n">
        <f aca="false">SUM(H6:H17)</f>
        <v>75652.1425</v>
      </c>
      <c r="I18" s="85" t="n">
        <f aca="false">SUM(I6:I17)</f>
        <v>75708.2549999999</v>
      </c>
      <c r="J18" s="85" t="n">
        <f aca="false">SUM(J6:J17)</f>
        <v>300063.3925</v>
      </c>
      <c r="K18" s="85" t="n">
        <f aca="false">SUM(K6:K17)</f>
        <v>156000</v>
      </c>
      <c r="L18" s="85" t="n">
        <f aca="false">SUM(L6:L17)</f>
        <v>144063.3925</v>
      </c>
      <c r="M18" s="83" t="n">
        <f aca="false">M17</f>
        <v>144063.3925</v>
      </c>
    </row>
    <row r="19" customFormat="false" ht="15" hidden="false" customHeight="false" outlineLevel="0" collapsed="false">
      <c r="A19" s="6" t="s">
        <v>599</v>
      </c>
      <c r="B19" s="2"/>
      <c r="C19" s="2"/>
      <c r="D19" s="2"/>
      <c r="E19" s="2"/>
      <c r="F19" s="2"/>
      <c r="G19" s="2"/>
      <c r="H19" s="2"/>
      <c r="I19" s="2"/>
      <c r="J19" s="59" t="n">
        <f aca="false">IF(F18=0,0,J18/F18)</f>
        <v>0.182544462238769</v>
      </c>
      <c r="K19" s="2"/>
      <c r="L19" s="2"/>
      <c r="M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customFormat="false" ht="15" hidden="false" customHeight="false" outlineLevel="0" collapsed="false">
      <c r="A21" s="6" t="s">
        <v>630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customFormat="false" ht="15" hidden="false" customHeight="true" outlineLevel="0" collapsed="false">
      <c r="A22" s="10" t="s">
        <v>631</v>
      </c>
      <c r="B22" s="2"/>
      <c r="C22" s="2"/>
      <c r="D22" s="2"/>
      <c r="E22" s="81" t="n">
        <f aca="false">Cores!$B$4*Premissas!$B$16</f>
        <v>79272</v>
      </c>
      <c r="F22" s="38" t="s">
        <v>632</v>
      </c>
      <c r="G22" s="38"/>
      <c r="H22" s="38"/>
      <c r="I22" s="38"/>
      <c r="J22" s="38"/>
      <c r="K22" s="38"/>
      <c r="L22" s="38"/>
      <c r="M22" s="38"/>
    </row>
    <row r="23" customFormat="false" ht="15" hidden="false" customHeight="true" outlineLevel="0" collapsed="false">
      <c r="A23" s="10" t="s">
        <v>633</v>
      </c>
      <c r="B23" s="2"/>
      <c r="C23" s="2"/>
      <c r="D23" s="2"/>
      <c r="E23" s="86" t="n">
        <v>18000</v>
      </c>
      <c r="F23" s="38" t="s">
        <v>634</v>
      </c>
      <c r="G23" s="38"/>
      <c r="H23" s="38"/>
      <c r="I23" s="38"/>
      <c r="J23" s="38"/>
      <c r="K23" s="38"/>
      <c r="L23" s="38"/>
      <c r="M23" s="38"/>
    </row>
    <row r="24" customFormat="false" ht="15" hidden="false" customHeight="true" outlineLevel="0" collapsed="false">
      <c r="A24" s="10" t="s">
        <v>635</v>
      </c>
      <c r="B24" s="2"/>
      <c r="C24" s="2"/>
      <c r="D24" s="2"/>
      <c r="E24" s="86" t="n">
        <v>9600</v>
      </c>
      <c r="F24" s="38" t="s">
        <v>636</v>
      </c>
      <c r="G24" s="38"/>
      <c r="H24" s="38"/>
      <c r="I24" s="38"/>
      <c r="J24" s="38"/>
      <c r="K24" s="38"/>
      <c r="L24" s="38"/>
      <c r="M24" s="38"/>
    </row>
    <row r="25" customFormat="false" ht="15" hidden="false" customHeight="true" outlineLevel="0" collapsed="false">
      <c r="A25" s="10" t="s">
        <v>637</v>
      </c>
      <c r="B25" s="2"/>
      <c r="C25" s="2"/>
      <c r="D25" s="2"/>
      <c r="E25" s="86" t="n">
        <v>7200</v>
      </c>
      <c r="F25" s="38" t="s">
        <v>638</v>
      </c>
      <c r="G25" s="38"/>
      <c r="H25" s="38"/>
      <c r="I25" s="38"/>
      <c r="J25" s="38"/>
      <c r="K25" s="38"/>
      <c r="L25" s="38"/>
      <c r="M25" s="38"/>
    </row>
    <row r="26" customFormat="false" ht="15" hidden="false" customHeight="true" outlineLevel="0" collapsed="false">
      <c r="A26" s="10" t="s">
        <v>639</v>
      </c>
      <c r="B26" s="2"/>
      <c r="C26" s="2"/>
      <c r="D26" s="2"/>
      <c r="E26" s="86" t="n">
        <v>15000</v>
      </c>
      <c r="F26" s="38" t="s">
        <v>640</v>
      </c>
      <c r="G26" s="38"/>
      <c r="H26" s="38"/>
      <c r="I26" s="38"/>
      <c r="J26" s="38"/>
      <c r="K26" s="38"/>
      <c r="L26" s="38"/>
      <c r="M26" s="38"/>
    </row>
    <row r="27" customFormat="false" ht="15" hidden="false" customHeight="true" outlineLevel="0" collapsed="false">
      <c r="A27" s="10" t="s">
        <v>641</v>
      </c>
      <c r="B27" s="2"/>
      <c r="C27" s="2"/>
      <c r="D27" s="2"/>
      <c r="E27" s="86" t="n">
        <v>25000</v>
      </c>
      <c r="F27" s="38" t="s">
        <v>642</v>
      </c>
      <c r="G27" s="38"/>
      <c r="H27" s="38"/>
      <c r="I27" s="38"/>
      <c r="J27" s="38"/>
      <c r="K27" s="38"/>
      <c r="L27" s="38"/>
      <c r="M27" s="38"/>
    </row>
    <row r="28" customFormat="false" ht="15" hidden="false" customHeight="false" outlineLevel="0" collapsed="false">
      <c r="A28" s="6" t="s">
        <v>643</v>
      </c>
      <c r="B28" s="2"/>
      <c r="C28" s="2"/>
      <c r="D28" s="2"/>
      <c r="E28" s="87" t="n">
        <f aca="false">SUM(E22:E27)</f>
        <v>154072</v>
      </c>
      <c r="F28" s="2"/>
      <c r="G28" s="2"/>
      <c r="H28" s="2"/>
      <c r="I28" s="2"/>
      <c r="J28" s="2"/>
      <c r="K28" s="2"/>
      <c r="L28" s="2"/>
      <c r="M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customFormat="false" ht="15" hidden="false" customHeight="true" outlineLevel="0" collapsed="false">
      <c r="A30" s="6" t="s">
        <v>644</v>
      </c>
      <c r="B30" s="2"/>
      <c r="C30" s="2"/>
      <c r="D30" s="2"/>
      <c r="E30" s="45" t="str">
        <f aca="false">IF(COUNTIF(M6:M17,"&gt;="&amp;E28)=0,"após o mês 12",13-COUNTIF(M6:M17,"&gt;="&amp;E28))</f>
        <v>após o mês 12</v>
      </c>
      <c r="F30" s="38" t="s">
        <v>645</v>
      </c>
      <c r="G30" s="38"/>
      <c r="H30" s="38"/>
      <c r="I30" s="38"/>
      <c r="J30" s="38"/>
      <c r="K30" s="38"/>
      <c r="L30" s="38"/>
      <c r="M30" s="38"/>
    </row>
    <row r="31" customFormat="false" ht="15" hidden="false" customHeight="false" outlineLevel="0" collapsed="false">
      <c r="A31" s="6" t="s">
        <v>646</v>
      </c>
      <c r="B31" s="2"/>
      <c r="C31" s="2"/>
      <c r="D31" s="2"/>
      <c r="E31" s="45" t="n">
        <f aca="false">IF(COUNTIF(L6:L17,"&gt;=0")=0,"após o mês 12",13-COUNTIF(L6:L17,"&gt;=0"))</f>
        <v>5</v>
      </c>
      <c r="F31" s="2"/>
      <c r="G31" s="2"/>
      <c r="H31" s="2"/>
      <c r="I31" s="2"/>
      <c r="J31" s="2"/>
      <c r="K31" s="2"/>
      <c r="L31" s="2"/>
      <c r="M31" s="2"/>
    </row>
    <row r="32" customFormat="false" ht="15" hidden="false" customHeight="true" outlineLevel="0" collapsed="false">
      <c r="A32" s="6" t="s">
        <v>647</v>
      </c>
      <c r="B32" s="2"/>
      <c r="C32" s="2"/>
      <c r="D32" s="2"/>
      <c r="E32" s="60" t="n">
        <f aca="false">E17*Premissas!$B$6/(52/12)</f>
        <v>1253.07692307692</v>
      </c>
      <c r="F32" s="38" t="s">
        <v>648</v>
      </c>
      <c r="G32" s="38"/>
      <c r="H32" s="38"/>
      <c r="I32" s="38"/>
      <c r="J32" s="38"/>
      <c r="K32" s="38"/>
      <c r="L32" s="38"/>
      <c r="M32" s="38"/>
    </row>
  </sheetData>
  <mergeCells count="9">
    <mergeCell ref="C3:M3"/>
    <mergeCell ref="F22:M22"/>
    <mergeCell ref="F23:M23"/>
    <mergeCell ref="F24:M24"/>
    <mergeCell ref="F25:M25"/>
    <mergeCell ref="F26:M26"/>
    <mergeCell ref="F27:M27"/>
    <mergeCell ref="F30:M30"/>
    <mergeCell ref="F32:M32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Kits de camisetas · Rev. 02 · Blumenau, outubro de 2026&amp;R&amp;8 &amp;A · 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72"/>
  </cols>
  <sheetData>
    <row r="1" customFormat="false" ht="17.35" hidden="false" customHeight="false" outlineLevel="0" collapsed="false">
      <c r="A1" s="1" t="s">
        <v>649</v>
      </c>
      <c r="B1" s="2"/>
      <c r="C1" s="2"/>
    </row>
    <row r="2" customFormat="false" ht="15" hidden="false" customHeight="false" outlineLevel="0" collapsed="false">
      <c r="A2" s="3" t="s">
        <v>650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651</v>
      </c>
      <c r="B4" s="5"/>
      <c r="C4" s="5"/>
    </row>
    <row r="5" customFormat="false" ht="15" hidden="false" customHeight="false" outlineLevel="0" collapsed="false">
      <c r="A5" s="10" t="s">
        <v>652</v>
      </c>
      <c r="B5" s="17" t="n">
        <f aca="false">Premissas!$B$15</f>
        <v>169.9</v>
      </c>
      <c r="C5" s="12" t="s">
        <v>653</v>
      </c>
    </row>
    <row r="6" customFormat="false" ht="15" hidden="false" customHeight="false" outlineLevel="0" collapsed="false">
      <c r="A6" s="10" t="s">
        <v>205</v>
      </c>
      <c r="B6" s="51" t="n">
        <f aca="false">Calculadora!$E$20</f>
        <v>0.342916362566216</v>
      </c>
      <c r="C6" s="12" t="s">
        <v>654</v>
      </c>
    </row>
    <row r="7" customFormat="false" ht="15" hidden="false" customHeight="false" outlineLevel="0" collapsed="false">
      <c r="A7" s="10" t="s">
        <v>655</v>
      </c>
      <c r="B7" s="88" t="n">
        <v>10000</v>
      </c>
      <c r="C7" s="2"/>
    </row>
    <row r="8" customFormat="false" ht="15" hidden="false" customHeight="false" outlineLevel="0" collapsed="false">
      <c r="A8" s="10" t="s">
        <v>656</v>
      </c>
      <c r="B8" s="89" t="n">
        <v>0.7</v>
      </c>
      <c r="C8" s="12" t="s">
        <v>657</v>
      </c>
    </row>
    <row r="9" customFormat="false" ht="15" hidden="false" customHeight="false" outlineLevel="0" collapsed="false">
      <c r="A9" s="10" t="s">
        <v>658</v>
      </c>
      <c r="B9" s="62" t="n">
        <v>22</v>
      </c>
      <c r="C9" s="12" t="s">
        <v>659</v>
      </c>
    </row>
    <row r="10" customFormat="false" ht="15" hidden="false" customHeight="false" outlineLevel="0" collapsed="false">
      <c r="A10" s="10" t="s">
        <v>660</v>
      </c>
      <c r="B10" s="90" t="n">
        <v>0.016</v>
      </c>
      <c r="C10" s="12" t="s">
        <v>661</v>
      </c>
    </row>
    <row r="11" customFormat="false" ht="15" hidden="false" customHeight="false" outlineLevel="0" collapsed="false">
      <c r="A11" s="10" t="s">
        <v>662</v>
      </c>
      <c r="B11" s="90" t="n">
        <v>0.015</v>
      </c>
      <c r="C11" s="12" t="s">
        <v>663</v>
      </c>
    </row>
    <row r="12" customFormat="false" ht="15" hidden="false" customHeight="false" outlineLevel="0" collapsed="false">
      <c r="A12" s="10" t="s">
        <v>664</v>
      </c>
      <c r="B12" s="62" t="n">
        <v>2.5</v>
      </c>
      <c r="C12" s="12" t="s">
        <v>665</v>
      </c>
    </row>
    <row r="13" customFormat="false" ht="15" hidden="false" customHeight="false" outlineLevel="0" collapsed="false">
      <c r="A13" s="10" t="s">
        <v>666</v>
      </c>
      <c r="B13" s="90" t="n">
        <v>0.022</v>
      </c>
      <c r="C13" s="12" t="s">
        <v>667</v>
      </c>
    </row>
    <row r="14" customFormat="false" ht="15" hidden="false" customHeight="false" outlineLevel="0" collapsed="false">
      <c r="A14" s="10" t="s">
        <v>668</v>
      </c>
      <c r="B14" s="91" t="n">
        <v>0.35</v>
      </c>
      <c r="C14" s="12" t="s">
        <v>669</v>
      </c>
    </row>
    <row r="15" customFormat="false" ht="15" hidden="false" customHeight="false" outlineLevel="0" collapsed="false">
      <c r="A15" s="10" t="s">
        <v>670</v>
      </c>
      <c r="B15" s="92" t="n">
        <v>1.4</v>
      </c>
      <c r="C15" s="2"/>
    </row>
    <row r="16" customFormat="false" ht="15" hidden="false" customHeight="false" outlineLevel="0" collapsed="false">
      <c r="A16" s="2"/>
      <c r="B16" s="2"/>
      <c r="C16" s="2"/>
    </row>
    <row r="17" customFormat="false" ht="15" hidden="false" customHeight="false" outlineLevel="0" collapsed="false">
      <c r="A17" s="4" t="s">
        <v>671</v>
      </c>
      <c r="B17" s="5"/>
      <c r="C17" s="5"/>
    </row>
    <row r="18" customFormat="false" ht="15" hidden="false" customHeight="false" outlineLevel="0" collapsed="false">
      <c r="A18" s="6" t="s">
        <v>672</v>
      </c>
      <c r="B18" s="43" t="n">
        <f aca="false">B5*B6</f>
        <v>58.26149</v>
      </c>
      <c r="C18" s="12" t="s">
        <v>673</v>
      </c>
    </row>
    <row r="19" customFormat="false" ht="15" hidden="false" customHeight="false" outlineLevel="0" collapsed="false">
      <c r="A19" s="6" t="s">
        <v>674</v>
      </c>
      <c r="B19" s="47" t="n">
        <f aca="false">IF(B6&lt;=0,"—",1/B6)</f>
        <v>2.9161629748913</v>
      </c>
      <c r="C19" s="12" t="s">
        <v>675</v>
      </c>
    </row>
    <row r="20" customFormat="false" ht="15" hidden="false" customHeight="false" outlineLevel="0" collapsed="false">
      <c r="A20" s="10" t="s">
        <v>676</v>
      </c>
      <c r="B20" s="81" t="n">
        <f aca="false">B7*B8</f>
        <v>7000</v>
      </c>
      <c r="C20" s="2"/>
    </row>
    <row r="21" customFormat="false" ht="15" hidden="false" customHeight="false" outlineLevel="0" collapsed="false">
      <c r="A21" s="10" t="s">
        <v>677</v>
      </c>
      <c r="B21" s="81" t="n">
        <f aca="false">B7-B20</f>
        <v>3000</v>
      </c>
      <c r="C21" s="2"/>
    </row>
    <row r="22" customFormat="false" ht="15" hidden="false" customHeight="false" outlineLevel="0" collapsed="false">
      <c r="A22" s="10" t="s">
        <v>678</v>
      </c>
      <c r="B22" s="20" t="n">
        <f aca="false">IF(B9=0,0,B20/B9*1000)</f>
        <v>318181.818181818</v>
      </c>
      <c r="C22" s="2"/>
    </row>
    <row r="23" customFormat="false" ht="15" hidden="false" customHeight="false" outlineLevel="0" collapsed="false">
      <c r="A23" s="10" t="s">
        <v>679</v>
      </c>
      <c r="B23" s="20" t="n">
        <f aca="false">B22*B10</f>
        <v>5090.90909090909</v>
      </c>
      <c r="C23" s="2"/>
    </row>
    <row r="24" customFormat="false" ht="15" hidden="false" customHeight="false" outlineLevel="0" collapsed="false">
      <c r="A24" s="10" t="s">
        <v>680</v>
      </c>
      <c r="B24" s="73" t="n">
        <f aca="false">B23*B11</f>
        <v>76.3636363636364</v>
      </c>
      <c r="C24" s="2"/>
    </row>
    <row r="25" customFormat="false" ht="15" hidden="false" customHeight="false" outlineLevel="0" collapsed="false">
      <c r="A25" s="10" t="s">
        <v>681</v>
      </c>
      <c r="B25" s="20" t="n">
        <f aca="false">IF(B12=0,0,B21/B12)</f>
        <v>1200</v>
      </c>
      <c r="C25" s="2"/>
    </row>
    <row r="26" customFormat="false" ht="15" hidden="false" customHeight="false" outlineLevel="0" collapsed="false">
      <c r="A26" s="10" t="s">
        <v>682</v>
      </c>
      <c r="B26" s="73" t="n">
        <f aca="false">B25*B13</f>
        <v>26.4</v>
      </c>
      <c r="C26" s="2"/>
    </row>
    <row r="27" customFormat="false" ht="15" hidden="false" customHeight="false" outlineLevel="0" collapsed="false">
      <c r="A27" s="6" t="s">
        <v>683</v>
      </c>
      <c r="B27" s="93" t="n">
        <f aca="false">B24+B26</f>
        <v>102.763636363636</v>
      </c>
      <c r="C27" s="2"/>
    </row>
    <row r="28" customFormat="false" ht="15" hidden="false" customHeight="false" outlineLevel="0" collapsed="false">
      <c r="A28" s="6" t="s">
        <v>684</v>
      </c>
      <c r="B28" s="43" t="n">
        <f aca="false">IF(B27=0,"—",B7/B27)</f>
        <v>97.310686482661</v>
      </c>
      <c r="C28" s="12" t="s">
        <v>685</v>
      </c>
    </row>
    <row r="29" customFormat="false" ht="15" hidden="false" customHeight="false" outlineLevel="0" collapsed="false">
      <c r="A29" s="10" t="s">
        <v>686</v>
      </c>
      <c r="B29" s="81" t="n">
        <f aca="false">B27*B5</f>
        <v>17459.5418181818</v>
      </c>
      <c r="C29" s="2"/>
    </row>
    <row r="30" customFormat="false" ht="15" hidden="false" customHeight="false" outlineLevel="0" collapsed="false">
      <c r="A30" s="6" t="s">
        <v>687</v>
      </c>
      <c r="B30" s="47" t="n">
        <f aca="false">IF(B7=0,0,B29/B7)</f>
        <v>1.74595418181818</v>
      </c>
      <c r="C30" s="2"/>
    </row>
    <row r="31" customFormat="false" ht="15" hidden="false" customHeight="false" outlineLevel="0" collapsed="false">
      <c r="A31" s="6" t="s">
        <v>688</v>
      </c>
      <c r="B31" s="83" t="n">
        <f aca="false">B27*B18-B7</f>
        <v>-4012.83742763636</v>
      </c>
      <c r="C31" s="12" t="s">
        <v>689</v>
      </c>
    </row>
    <row r="32" customFormat="false" ht="15" hidden="false" customHeight="false" outlineLevel="0" collapsed="false">
      <c r="A32" s="10" t="s">
        <v>690</v>
      </c>
      <c r="B32" s="23" t="n">
        <f aca="false">B18*(1+B14*B15)</f>
        <v>86.8096201</v>
      </c>
      <c r="C32" s="12" t="s">
        <v>691</v>
      </c>
    </row>
    <row r="33" customFormat="false" ht="15" hidden="false" customHeight="false" outlineLevel="0" collapsed="false">
      <c r="A33" s="6" t="s">
        <v>692</v>
      </c>
      <c r="B33" s="47" t="n">
        <f aca="false">IF(OR(B27=0,B7=0),"—",B32/(B7/B27))</f>
        <v>0.892087223282182</v>
      </c>
      <c r="C33" s="12" t="s">
        <v>693</v>
      </c>
    </row>
    <row r="34" customFormat="false" ht="15" hidden="false" customHeight="false" outlineLevel="0" collapsed="false">
      <c r="A34" s="2"/>
      <c r="B34" s="2"/>
      <c r="C34" s="2"/>
    </row>
    <row r="35" customFormat="false" ht="15" hidden="false" customHeight="false" outlineLevel="0" collapsed="false">
      <c r="A35" s="6" t="s">
        <v>202</v>
      </c>
      <c r="B35" s="94" t="str">
        <f aca="false">IF(B31&gt;=0,"A mídia se paga na primeira compra","A mídia NÃO se paga na primeira compra")</f>
        <v>A mídia NÃO se paga na primeira compra</v>
      </c>
      <c r="C35" s="94"/>
    </row>
  </sheetData>
  <mergeCells count="1">
    <mergeCell ref="B35:C35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Kits de camisetas · Rev. 02 · Blumenau, outubro de 2026&amp;R&amp;8 &amp;A · 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74"/>
  </cols>
  <sheetData>
    <row r="1" customFormat="false" ht="17.35" hidden="false" customHeight="false" outlineLevel="0" collapsed="false">
      <c r="A1" s="1" t="s">
        <v>694</v>
      </c>
      <c r="B1" s="2"/>
      <c r="C1" s="2"/>
      <c r="D1" s="2"/>
      <c r="E1" s="2"/>
    </row>
    <row r="2" customFormat="false" ht="15" hidden="false" customHeight="false" outlineLevel="0" collapsed="false">
      <c r="A2" s="3" t="s">
        <v>695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696</v>
      </c>
      <c r="B4" s="5"/>
      <c r="C4" s="5"/>
      <c r="D4" s="5"/>
      <c r="E4" s="5"/>
    </row>
    <row r="5" customFormat="false" ht="15" hidden="false" customHeight="false" outlineLevel="0" collapsed="false">
      <c r="A5" s="31" t="s">
        <v>697</v>
      </c>
      <c r="B5" s="32" t="s">
        <v>591</v>
      </c>
      <c r="C5" s="32" t="s">
        <v>698</v>
      </c>
      <c r="D5" s="32" t="s">
        <v>123</v>
      </c>
      <c r="E5" s="2"/>
    </row>
    <row r="6" customFormat="false" ht="27.75" hidden="false" customHeight="true" outlineLevel="0" collapsed="false">
      <c r="A6" s="6" t="s">
        <v>520</v>
      </c>
      <c r="B6" s="95" t="n">
        <v>0.14</v>
      </c>
      <c r="C6" s="7" t="s">
        <v>361</v>
      </c>
      <c r="D6" s="96" t="s">
        <v>699</v>
      </c>
      <c r="E6" s="96"/>
    </row>
    <row r="7" customFormat="false" ht="27.75" hidden="false" customHeight="true" outlineLevel="0" collapsed="false">
      <c r="A7" s="6" t="s">
        <v>350</v>
      </c>
      <c r="B7" s="95" t="n">
        <v>0.19</v>
      </c>
      <c r="C7" s="7" t="s">
        <v>361</v>
      </c>
      <c r="D7" s="96" t="s">
        <v>700</v>
      </c>
      <c r="E7" s="96"/>
    </row>
    <row r="8" customFormat="false" ht="27.75" hidden="false" customHeight="true" outlineLevel="0" collapsed="false">
      <c r="A8" s="6" t="s">
        <v>701</v>
      </c>
      <c r="B8" s="95" t="s">
        <v>361</v>
      </c>
      <c r="C8" s="7" t="s">
        <v>702</v>
      </c>
      <c r="D8" s="96" t="s">
        <v>703</v>
      </c>
      <c r="E8" s="96"/>
    </row>
    <row r="9" customFormat="false" ht="27.75" hidden="false" customHeight="true" outlineLevel="0" collapsed="false">
      <c r="A9" s="6" t="s">
        <v>704</v>
      </c>
      <c r="B9" s="95" t="s">
        <v>361</v>
      </c>
      <c r="C9" s="7" t="s">
        <v>705</v>
      </c>
      <c r="D9" s="96" t="s">
        <v>706</v>
      </c>
      <c r="E9" s="96"/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15" hidden="false" customHeight="false" outlineLevel="0" collapsed="false">
      <c r="A12" s="2"/>
      <c r="B12" s="2"/>
      <c r="C12" s="2"/>
      <c r="D12" s="2"/>
      <c r="E12" s="2"/>
    </row>
    <row r="13" customFormat="false" ht="15" hidden="false" customHeight="false" outlineLevel="0" collapsed="false">
      <c r="A13" s="4" t="s">
        <v>707</v>
      </c>
      <c r="B13" s="5"/>
      <c r="C13" s="5"/>
      <c r="D13" s="5"/>
      <c r="E13" s="5"/>
    </row>
    <row r="14" customFormat="false" ht="15" hidden="false" customHeight="false" outlineLevel="0" collapsed="false">
      <c r="A14" s="31" t="s">
        <v>708</v>
      </c>
      <c r="B14" s="32" t="s">
        <v>709</v>
      </c>
      <c r="C14" s="32" t="s">
        <v>591</v>
      </c>
      <c r="D14" s="32" t="s">
        <v>710</v>
      </c>
      <c r="E14" s="32" t="s">
        <v>123</v>
      </c>
    </row>
    <row r="15" customFormat="false" ht="15" hidden="false" customHeight="false" outlineLevel="0" collapsed="false">
      <c r="A15" s="10" t="s">
        <v>711</v>
      </c>
      <c r="B15" s="26" t="n">
        <v>0</v>
      </c>
      <c r="C15" s="34" t="n">
        <v>0.5</v>
      </c>
      <c r="D15" s="29" t="n">
        <v>0</v>
      </c>
      <c r="E15" s="7" t="s">
        <v>712</v>
      </c>
    </row>
    <row r="16" customFormat="false" ht="15" hidden="false" customHeight="false" outlineLevel="0" collapsed="false">
      <c r="A16" s="10" t="s">
        <v>713</v>
      </c>
      <c r="B16" s="26" t="n">
        <v>8</v>
      </c>
      <c r="C16" s="34" t="n">
        <v>0.2</v>
      </c>
      <c r="D16" s="29" t="n">
        <v>4</v>
      </c>
      <c r="E16" s="7" t="s">
        <v>714</v>
      </c>
    </row>
    <row r="17" customFormat="false" ht="15" hidden="false" customHeight="false" outlineLevel="0" collapsed="false">
      <c r="A17" s="10" t="s">
        <v>715</v>
      </c>
      <c r="B17" s="26" t="n">
        <v>80</v>
      </c>
      <c r="C17" s="34" t="n">
        <v>0.14</v>
      </c>
      <c r="D17" s="29" t="n">
        <v>16</v>
      </c>
      <c r="E17" s="7" t="s">
        <v>716</v>
      </c>
    </row>
    <row r="18" customFormat="false" ht="15" hidden="false" customHeight="false" outlineLevel="0" collapsed="false">
      <c r="A18" s="10" t="s">
        <v>717</v>
      </c>
      <c r="B18" s="26" t="n">
        <v>100</v>
      </c>
      <c r="C18" s="34" t="n">
        <v>0.14</v>
      </c>
      <c r="D18" s="29" t="n">
        <v>20</v>
      </c>
      <c r="E18" s="7" t="s">
        <v>718</v>
      </c>
    </row>
    <row r="19" customFormat="false" ht="15" hidden="false" customHeight="false" outlineLevel="0" collapsed="false">
      <c r="A19" s="10" t="s">
        <v>719</v>
      </c>
      <c r="B19" s="26" t="n">
        <v>200</v>
      </c>
      <c r="C19" s="34" t="n">
        <v>0.14</v>
      </c>
      <c r="D19" s="29" t="n">
        <v>26</v>
      </c>
      <c r="E19" s="7" t="s">
        <v>720</v>
      </c>
    </row>
    <row r="20" customFormat="false" ht="27.75" hidden="false" customHeight="true" outlineLevel="0" collapsed="false">
      <c r="A20" s="38" t="s">
        <v>721</v>
      </c>
      <c r="B20" s="38"/>
      <c r="C20" s="38"/>
      <c r="D20" s="38"/>
      <c r="E20" s="38"/>
    </row>
    <row r="21" customFormat="false" ht="15" hidden="false" customHeight="false" outlineLevel="0" collapsed="false">
      <c r="A21" s="2"/>
      <c r="B21" s="2"/>
      <c r="C21" s="2"/>
      <c r="D21" s="2"/>
      <c r="E21" s="2"/>
    </row>
    <row r="22" customFormat="false" ht="15" hidden="false" customHeight="false" outlineLevel="0" collapsed="false">
      <c r="A22" s="4" t="s">
        <v>722</v>
      </c>
      <c r="B22" s="5"/>
      <c r="C22" s="5"/>
      <c r="D22" s="5"/>
      <c r="E22" s="5"/>
    </row>
    <row r="23" customFormat="false" ht="15" hidden="false" customHeight="false" outlineLevel="0" collapsed="false">
      <c r="A23" s="31" t="s">
        <v>708</v>
      </c>
      <c r="B23" s="32" t="s">
        <v>709</v>
      </c>
      <c r="C23" s="32" t="s">
        <v>591</v>
      </c>
      <c r="D23" s="32" t="s">
        <v>710</v>
      </c>
      <c r="E23" s="32" t="s">
        <v>123</v>
      </c>
    </row>
    <row r="24" customFormat="false" ht="15" hidden="false" customHeight="false" outlineLevel="0" collapsed="false">
      <c r="A24" s="10" t="s">
        <v>723</v>
      </c>
      <c r="B24" s="26" t="n">
        <v>0</v>
      </c>
      <c r="C24" s="34" t="n">
        <v>0.1</v>
      </c>
      <c r="D24" s="29" t="n">
        <v>0</v>
      </c>
      <c r="E24" s="7" t="s">
        <v>724</v>
      </c>
    </row>
    <row r="25" customFormat="false" ht="15" hidden="false" customHeight="false" outlineLevel="0" collapsed="false">
      <c r="A25" s="10" t="s">
        <v>725</v>
      </c>
      <c r="B25" s="26" t="n">
        <v>50</v>
      </c>
      <c r="C25" s="34" t="n">
        <v>0.06</v>
      </c>
      <c r="D25" s="29" t="n">
        <v>6</v>
      </c>
      <c r="E25" s="7" t="s">
        <v>726</v>
      </c>
    </row>
    <row r="26" customFormat="false" ht="27.75" hidden="false" customHeight="true" outlineLevel="0" collapsed="false">
      <c r="A26" s="38" t="s">
        <v>727</v>
      </c>
      <c r="B26" s="38"/>
      <c r="C26" s="38"/>
      <c r="D26" s="38"/>
      <c r="E26" s="38"/>
    </row>
    <row r="27" customFormat="false" ht="15" hidden="false" customHeight="false" outlineLevel="0" collapsed="false">
      <c r="A27" s="2"/>
      <c r="B27" s="2"/>
      <c r="C27" s="2"/>
      <c r="D27" s="2"/>
      <c r="E27" s="2"/>
    </row>
    <row r="28" customFormat="false" ht="15" hidden="false" customHeight="false" outlineLevel="0" collapsed="false">
      <c r="A28" s="4" t="s">
        <v>728</v>
      </c>
      <c r="B28" s="5"/>
      <c r="C28" s="5"/>
      <c r="D28" s="5"/>
      <c r="E28" s="5"/>
    </row>
    <row r="29" customFormat="false" ht="15" hidden="false" customHeight="false" outlineLevel="0" collapsed="false">
      <c r="A29" s="31" t="s">
        <v>729</v>
      </c>
      <c r="B29" s="32" t="s">
        <v>730</v>
      </c>
      <c r="C29" s="32" t="s">
        <v>731</v>
      </c>
      <c r="D29" s="32" t="s">
        <v>732</v>
      </c>
      <c r="E29" s="32" t="s">
        <v>123</v>
      </c>
    </row>
    <row r="30" customFormat="false" ht="15" hidden="false" customHeight="false" outlineLevel="0" collapsed="false">
      <c r="A30" s="10" t="s">
        <v>733</v>
      </c>
      <c r="B30" s="34" t="n">
        <v>0.04</v>
      </c>
      <c r="C30" s="34" t="n">
        <v>0.045</v>
      </c>
      <c r="D30" s="7" t="s">
        <v>361</v>
      </c>
      <c r="E30" s="2"/>
    </row>
    <row r="31" customFormat="false" ht="15" hidden="false" customHeight="false" outlineLevel="0" collapsed="false">
      <c r="A31" s="10" t="s">
        <v>734</v>
      </c>
      <c r="B31" s="34" t="n">
        <v>0.073</v>
      </c>
      <c r="C31" s="34" t="n">
        <v>0.078</v>
      </c>
      <c r="D31" s="7" t="s">
        <v>735</v>
      </c>
      <c r="E31" s="2"/>
    </row>
    <row r="32" customFormat="false" ht="15" hidden="false" customHeight="false" outlineLevel="0" collapsed="false">
      <c r="A32" s="10" t="s">
        <v>736</v>
      </c>
      <c r="B32" s="34" t="n">
        <v>0.095</v>
      </c>
      <c r="C32" s="34" t="n">
        <v>0.1</v>
      </c>
      <c r="D32" s="7" t="s">
        <v>737</v>
      </c>
      <c r="E32" s="2"/>
    </row>
    <row r="33" customFormat="false" ht="15" hidden="false" customHeight="false" outlineLevel="0" collapsed="false">
      <c r="A33" s="10" t="s">
        <v>738</v>
      </c>
      <c r="B33" s="34" t="n">
        <v>0.107</v>
      </c>
      <c r="C33" s="34" t="n">
        <v>0.112</v>
      </c>
      <c r="D33" s="7" t="s">
        <v>739</v>
      </c>
      <c r="E33" s="2"/>
    </row>
    <row r="34" customFormat="false" ht="15" hidden="false" customHeight="false" outlineLevel="0" collapsed="false">
      <c r="A34" s="10" t="s">
        <v>740</v>
      </c>
      <c r="B34" s="34" t="n">
        <v>0.143</v>
      </c>
      <c r="C34" s="34" t="n">
        <v>0.147</v>
      </c>
      <c r="D34" s="7" t="s">
        <v>741</v>
      </c>
      <c r="E34" s="2"/>
    </row>
    <row r="35" customFormat="false" ht="23.85" hidden="false" customHeight="false" outlineLevel="0" collapsed="false">
      <c r="A35" s="10" t="s">
        <v>742</v>
      </c>
      <c r="B35" s="34" t="n">
        <v>0.19</v>
      </c>
      <c r="C35" s="34" t="n">
        <v>0.3</v>
      </c>
      <c r="D35" s="7" t="s">
        <v>743</v>
      </c>
      <c r="E35" s="2"/>
    </row>
    <row r="36" customFormat="false" ht="43.5" hidden="false" customHeight="true" outlineLevel="0" collapsed="false">
      <c r="A36" s="38" t="s">
        <v>744</v>
      </c>
      <c r="B36" s="38"/>
      <c r="C36" s="38"/>
      <c r="D36" s="38"/>
      <c r="E36" s="38"/>
    </row>
    <row r="37" customFormat="false" ht="15" hidden="false" customHeight="false" outlineLevel="0" collapsed="false">
      <c r="A37" s="2"/>
      <c r="B37" s="2"/>
      <c r="C37" s="2"/>
      <c r="D37" s="2"/>
      <c r="E37" s="2"/>
    </row>
    <row r="38" customFormat="false" ht="15" hidden="false" customHeight="false" outlineLevel="0" collapsed="false">
      <c r="A38" s="4" t="s">
        <v>745</v>
      </c>
      <c r="B38" s="5"/>
      <c r="C38" s="5"/>
      <c r="D38" s="5"/>
      <c r="E38" s="5"/>
    </row>
    <row r="39" customFormat="false" ht="15" hidden="false" customHeight="false" outlineLevel="0" collapsed="false">
      <c r="A39" s="31" t="s">
        <v>746</v>
      </c>
      <c r="B39" s="32" t="s">
        <v>251</v>
      </c>
      <c r="C39" s="32" t="s">
        <v>324</v>
      </c>
      <c r="D39" s="32" t="s">
        <v>123</v>
      </c>
      <c r="E39" s="2"/>
    </row>
    <row r="40" customFormat="false" ht="15" hidden="false" customHeight="true" outlineLevel="0" collapsed="false">
      <c r="A40" s="10" t="s">
        <v>747</v>
      </c>
      <c r="B40" s="10" t="s">
        <v>748</v>
      </c>
      <c r="C40" s="7" t="s">
        <v>749</v>
      </c>
      <c r="D40" s="96" t="s">
        <v>361</v>
      </c>
      <c r="E40" s="96"/>
    </row>
    <row r="41" customFormat="false" ht="15" hidden="false" customHeight="true" outlineLevel="0" collapsed="false">
      <c r="A41" s="10" t="s">
        <v>750</v>
      </c>
      <c r="B41" s="10" t="s">
        <v>751</v>
      </c>
      <c r="C41" s="7" t="s">
        <v>749</v>
      </c>
      <c r="D41" s="96" t="s">
        <v>752</v>
      </c>
      <c r="E41" s="96"/>
    </row>
    <row r="42" customFormat="false" ht="15" hidden="false" customHeight="true" outlineLevel="0" collapsed="false">
      <c r="A42" s="10" t="s">
        <v>753</v>
      </c>
      <c r="B42" s="10" t="s">
        <v>754</v>
      </c>
      <c r="C42" s="7" t="s">
        <v>749</v>
      </c>
      <c r="D42" s="96" t="s">
        <v>755</v>
      </c>
      <c r="E42" s="96"/>
    </row>
    <row r="43" customFormat="false" ht="23.85" hidden="false" customHeight="true" outlineLevel="0" collapsed="false">
      <c r="A43" s="10" t="s">
        <v>756</v>
      </c>
      <c r="B43" s="10" t="s">
        <v>757</v>
      </c>
      <c r="C43" s="7" t="s">
        <v>758</v>
      </c>
      <c r="D43" s="96" t="s">
        <v>759</v>
      </c>
      <c r="E43" s="96"/>
    </row>
    <row r="44" customFormat="false" ht="15" hidden="false" customHeight="true" outlineLevel="0" collapsed="false">
      <c r="A44" s="10" t="s">
        <v>760</v>
      </c>
      <c r="B44" s="10" t="s">
        <v>761</v>
      </c>
      <c r="C44" s="7" t="s">
        <v>762</v>
      </c>
      <c r="D44" s="96" t="s">
        <v>763</v>
      </c>
      <c r="E44" s="96"/>
    </row>
    <row r="45" customFormat="false" ht="23.85" hidden="false" customHeight="true" outlineLevel="0" collapsed="false">
      <c r="A45" s="10" t="s">
        <v>764</v>
      </c>
      <c r="B45" s="10" t="s">
        <v>765</v>
      </c>
      <c r="C45" s="7" t="s">
        <v>766</v>
      </c>
      <c r="D45" s="96" t="s">
        <v>767</v>
      </c>
      <c r="E45" s="96"/>
    </row>
    <row r="46" customFormat="false" ht="15" hidden="false" customHeight="true" outlineLevel="0" collapsed="false">
      <c r="A46" s="10" t="s">
        <v>768</v>
      </c>
      <c r="B46" s="10" t="s">
        <v>769</v>
      </c>
      <c r="C46" s="7" t="s">
        <v>770</v>
      </c>
      <c r="D46" s="96" t="s">
        <v>771</v>
      </c>
      <c r="E46" s="96"/>
    </row>
  </sheetData>
  <mergeCells count="14">
    <mergeCell ref="D6:E6"/>
    <mergeCell ref="D7:E7"/>
    <mergeCell ref="D8:E8"/>
    <mergeCell ref="D9:E9"/>
    <mergeCell ref="A20:E20"/>
    <mergeCell ref="A26:E26"/>
    <mergeCell ref="A36:E36"/>
    <mergeCell ref="D40:E40"/>
    <mergeCell ref="D41:E41"/>
    <mergeCell ref="D42:E42"/>
    <mergeCell ref="D43:E43"/>
    <mergeCell ref="D44:E44"/>
    <mergeCell ref="D45:E45"/>
    <mergeCell ref="D46:E4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Kits de camisetas · Rev. 02 · Blumenau, outubro de 2026&amp;R&amp;8 &amp;A ·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2026-09-23T23:31:27Z</dcterms:created>
  <dc:creator>openpyxl</dc:creator>
  <dc:description/>
  <dc:language>en-US</dc:language>
  <cp:lastModifiedBy/>
  <dcterms:modified xsi:type="dcterms:W3CDTF">2026-09-23T23:31:27Z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