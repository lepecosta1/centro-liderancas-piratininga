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Ficha de Custo" sheetId="3" state="visible" r:id="rId3"/>
    <sheet name="Calculadora" sheetId="4" state="visible" r:id="rId4"/>
    <sheet name="Capacidade" sheetId="5" state="visible" r:id="rId5"/>
    <sheet name="Cenarios" sheetId="6" state="visible" r:id="rId6"/>
    <sheet name="Sensibilidade" sheetId="7" state="visible" r:id="rId7"/>
    <sheet name="Projecao" sheetId="8" state="visible" r:id="rId8"/>
    <sheet name="Midia" sheetId="9" state="visible" r:id="rId9"/>
    <sheet name="Taxas 2026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R$ #,##0.00;(R$ #,##0.00);-"/>
    <numFmt numFmtId="165" formatCode="0.0%"/>
    <numFmt numFmtId="166" formatCode="0.00&quot;x&quot;"/>
    <numFmt numFmtId="167" formatCode="R$ #,##0;(R$ #,##0);-"/>
    <numFmt numFmtId="168" formatCode="0.000"/>
    <numFmt numFmtId="169" formatCode="0.0&quot;x&quot;"/>
    <numFmt numFmtId="170" formatCode="0.0"/>
    <numFmt numFmtId="171" formatCode="#,##0.0"/>
  </numFmts>
  <fonts count="8">
    <font>
      <name val="Calibri"/>
      <family val="2"/>
      <color theme="1"/>
      <sz val="11"/>
      <scheme val="minor"/>
    </font>
    <font>
      <name val="Arial"/>
      <b val="1"/>
      <color rgb="001F1A22"/>
      <sz val="14"/>
    </font>
    <font>
      <name val="Arial"/>
      <i val="1"/>
      <color rgb="007A7080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color rgb="00008000"/>
      <sz val="10"/>
    </font>
  </fonts>
  <fills count="8">
    <fill>
      <patternFill/>
    </fill>
    <fill>
      <patternFill patternType="gray125"/>
    </fill>
    <fill>
      <patternFill patternType="solid">
        <fgColor rgb="005C2438"/>
      </patternFill>
    </fill>
    <fill>
      <patternFill patternType="solid">
        <fgColor rgb="00FFFF00"/>
      </patternFill>
    </fill>
    <fill>
      <patternFill patternType="solid">
        <fgColor rgb="00F2F0F0"/>
      </patternFill>
    </fill>
    <fill>
      <patternFill patternType="solid">
        <fgColor rgb="00E8F3ED"/>
      </patternFill>
    </fill>
    <fill>
      <patternFill patternType="solid">
        <fgColor rgb="006E6474"/>
      </patternFill>
    </fill>
    <fill>
      <patternFill patternType="solid">
        <fgColor rgb="00EDEAEE"/>
      </patternFill>
    </fill>
  </fills>
  <borders count="2">
    <border>
      <left/>
      <right/>
      <top/>
      <bottom/>
      <diagonal/>
    </border>
    <border>
      <left style="thin">
        <color rgb="00D8D0D4"/>
      </left>
      <right style="thin">
        <color rgb="00D8D0D4"/>
      </right>
      <top style="thin">
        <color rgb="00D8D0D4"/>
      </top>
      <bottom style="thin">
        <color rgb="00D8D0D4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0" fillId="3" borderId="0" pivotButton="0" quotePrefix="0" xfId="0"/>
    <xf numFmtId="164" fontId="6" fillId="3" borderId="1" pivotButton="0" quotePrefix="0" xfId="0"/>
    <xf numFmtId="0" fontId="2" fillId="0" borderId="0" applyAlignment="1" pivotButton="0" quotePrefix="0" xfId="0">
      <alignment vertical="center" wrapText="1"/>
    </xf>
    <xf numFmtId="165" fontId="6" fillId="3" borderId="1" pivotButton="0" quotePrefix="0" xfId="0"/>
    <xf numFmtId="165" fontId="6" fillId="0" borderId="1" pivotButton="0" quotePrefix="0" xfId="0"/>
    <xf numFmtId="164" fontId="5" fillId="0" borderId="1" pivotButton="0" quotePrefix="0" xfId="0"/>
    <xf numFmtId="10" fontId="6" fillId="3" borderId="1" pivotButton="0" quotePrefix="0" xfId="0"/>
    <xf numFmtId="10" fontId="5" fillId="0" borderId="1" pivotButton="0" quotePrefix="0" xfId="0"/>
    <xf numFmtId="3" fontId="6" fillId="3" borderId="1" pivotButton="0" quotePrefix="0" xfId="0"/>
    <xf numFmtId="0" fontId="0" fillId="0" borderId="0" applyAlignment="1" pivotButton="0" quotePrefix="0" xfId="0">
      <alignment vertical="center" wrapText="1"/>
    </xf>
    <xf numFmtId="10" fontId="6" fillId="0" borderId="1" pivotButton="0" quotePrefix="0" xfId="0"/>
    <xf numFmtId="164" fontId="6" fillId="0" borderId="1" pivotButton="0" quotePrefix="0" xfId="0"/>
    <xf numFmtId="166" fontId="6" fillId="3" borderId="1" pivotButton="0" quotePrefix="0" xfId="0"/>
    <xf numFmtId="167" fontId="6" fillId="3" borderId="1" pivotButton="0" quotePrefix="0" xfId="0"/>
    <xf numFmtId="0" fontId="3" fillId="2" borderId="0" applyAlignment="1" pivotButton="0" quotePrefix="0" xfId="0">
      <alignment horizontal="left" wrapText="1"/>
    </xf>
    <xf numFmtId="0" fontId="3" fillId="2" borderId="0" applyAlignment="1" pivotButton="0" quotePrefix="0" xfId="0">
      <alignment horizontal="center" wrapText="1"/>
    </xf>
    <xf numFmtId="168" fontId="6" fillId="0" borderId="0" pivotButton="0" quotePrefix="0" xfId="0"/>
    <xf numFmtId="164" fontId="6" fillId="3" borderId="0" pivotButton="0" quotePrefix="0" xfId="0"/>
    <xf numFmtId="164" fontId="5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164" fontId="4" fillId="4" borderId="1" pivotButton="0" quotePrefix="0" xfId="0"/>
    <xf numFmtId="164" fontId="4" fillId="5" borderId="1" pivotButton="0" quotePrefix="0" xfId="0"/>
    <xf numFmtId="169" fontId="5" fillId="0" borderId="0" pivotButton="0" quotePrefix="0" xfId="0"/>
    <xf numFmtId="0" fontId="3" fillId="6" borderId="0" applyAlignment="1" pivotButton="0" quotePrefix="0" xfId="0">
      <alignment horizontal="center" wrapText="1"/>
    </xf>
    <xf numFmtId="164" fontId="7" fillId="4" borderId="0" pivotButton="0" quotePrefix="0" xfId="0"/>
    <xf numFmtId="164" fontId="7" fillId="7" borderId="0" pivotButton="0" quotePrefix="0" xfId="0"/>
    <xf numFmtId="10" fontId="5" fillId="0" borderId="0" pivotButton="0" quotePrefix="0" xfId="0"/>
    <xf numFmtId="164" fontId="4" fillId="7" borderId="1" pivotButton="0" quotePrefix="0" xfId="0"/>
    <xf numFmtId="164" fontId="4" fillId="0" borderId="1" pivotButton="0" quotePrefix="0" xfId="0"/>
    <xf numFmtId="165" fontId="4" fillId="0" borderId="1" pivotButton="0" quotePrefix="0" xfId="0"/>
    <xf numFmtId="166" fontId="4" fillId="3" borderId="1" pivotButton="0" quotePrefix="0" xfId="0"/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5" fontId="5" fillId="0" borderId="0" pivotButton="0" quotePrefix="0" xfId="0"/>
    <xf numFmtId="165" fontId="6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164" fontId="4" fillId="3" borderId="1" pivotButton="0" quotePrefix="0" xfId="0"/>
    <xf numFmtId="164" fontId="7" fillId="0" borderId="0" pivotButton="0" quotePrefix="0" xfId="0"/>
    <xf numFmtId="0" fontId="4" fillId="4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center" wrapText="1"/>
    </xf>
    <xf numFmtId="3" fontId="5" fillId="0" borderId="0" pivotButton="0" quotePrefix="0" xfId="0"/>
    <xf numFmtId="167" fontId="5" fillId="0" borderId="0" pivotButton="0" quotePrefix="0" xfId="0"/>
    <xf numFmtId="167" fontId="4" fillId="0" borderId="0" pivotButton="0" quotePrefix="0" xfId="0"/>
    <xf numFmtId="165" fontId="6" fillId="5" borderId="0" pivotButton="0" quotePrefix="0" xfId="0"/>
    <xf numFmtId="3" fontId="5" fillId="5" borderId="0" pivotButton="0" quotePrefix="0" xfId="0"/>
    <xf numFmtId="167" fontId="5" fillId="5" borderId="0" pivotButton="0" quotePrefix="0" xfId="0"/>
    <xf numFmtId="167" fontId="4" fillId="5" borderId="0" pivotButton="0" quotePrefix="0" xfId="0"/>
    <xf numFmtId="164" fontId="4" fillId="0" borderId="0" pivotButton="0" quotePrefix="0" xfId="0"/>
    <xf numFmtId="165" fontId="4" fillId="0" borderId="0" pivotButton="0" quotePrefix="0" xfId="0"/>
    <xf numFmtId="0" fontId="5" fillId="5" borderId="0" pivotButton="0" quotePrefix="0" xfId="0"/>
    <xf numFmtId="164" fontId="6" fillId="5" borderId="0" pivotButton="0" quotePrefix="0" xfId="0"/>
    <xf numFmtId="164" fontId="5" fillId="5" borderId="0" pivotButton="0" quotePrefix="0" xfId="0"/>
    <xf numFmtId="164" fontId="4" fillId="5" borderId="0" pivotButton="0" quotePrefix="0" xfId="0"/>
    <xf numFmtId="165" fontId="4" fillId="5" borderId="0" pivotButton="0" quotePrefix="0" xfId="0"/>
    <xf numFmtId="167" fontId="3" fillId="2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2" fontId="6" fillId="3" borderId="0" pivotButton="0" quotePrefix="0" xfId="0"/>
    <xf numFmtId="0" fontId="5" fillId="0" borderId="0" applyAlignment="1" pivotButton="0" quotePrefix="0" xfId="0">
      <alignment horizontal="center"/>
    </xf>
    <xf numFmtId="3" fontId="4" fillId="4" borderId="1" pivotButton="0" quotePrefix="0" xfId="0"/>
    <xf numFmtId="167" fontId="4" fillId="4" borderId="1" pivotButton="0" quotePrefix="0" xfId="0"/>
    <xf numFmtId="167" fontId="7" fillId="3" borderId="1" pivotButton="0" quotePrefix="0" xfId="0"/>
    <xf numFmtId="167" fontId="4" fillId="5" borderId="1" pivotButton="0" quotePrefix="0" xfId="0"/>
    <xf numFmtId="165" fontId="7" fillId="0" borderId="0" pivotButton="0" quotePrefix="0" xfId="0"/>
    <xf numFmtId="167" fontId="6" fillId="3" borderId="0" pivotButton="0" quotePrefix="0" xfId="0"/>
    <xf numFmtId="10" fontId="6" fillId="0" borderId="0" pivotButton="0" quotePrefix="0" xfId="0"/>
    <xf numFmtId="10" fontId="6" fillId="3" borderId="0" pivotButton="0" quotePrefix="0" xfId="0"/>
    <xf numFmtId="170" fontId="6" fillId="0" borderId="0" pivotButton="0" quotePrefix="0" xfId="0"/>
    <xf numFmtId="0" fontId="3" fillId="2" borderId="0" applyAlignment="1" pivotButton="0" quotePrefix="0" xfId="0">
      <alignment vertical="center" wrapText="1"/>
    </xf>
    <xf numFmtId="171" fontId="5" fillId="0" borderId="0" pivotButton="0" quotePrefix="0" xfId="0"/>
    <xf numFmtId="166" fontId="5" fillId="0" borderId="0" pivotButton="0" quotePrefix="0" xfId="0"/>
    <xf numFmtId="167" fontId="4" fillId="3" borderId="1" pivotButton="0" quotePrefix="0" xfId="0"/>
    <xf numFmtId="0" fontId="5" fillId="0" borderId="0" applyAlignment="1" pivotButton="0" quotePrefix="0" xfId="0">
      <alignment vertical="center" wrapText="1"/>
    </xf>
    <xf numFmtId="0" fontId="4" fillId="4" borderId="1" pivotButton="0" quotePrefix="0" xfId="0"/>
    <xf numFmtId="0" fontId="5" fillId="0" borderId="1" applyAlignment="1" pivotButton="0" quotePrefix="0" xfId="0">
      <alignment vertical="center" wrapText="1"/>
    </xf>
    <xf numFmtId="165" fontId="5" fillId="0" borderId="1" applyAlignment="1" pivotButton="0" quotePrefix="0" xfId="0">
      <alignment vertical="center" wrapText="1"/>
    </xf>
    <xf numFmtId="164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dxfs count="3">
    <dxf>
      <font>
        <name val="Arial"/>
        <color rgb="00A82740"/>
        <sz val="10"/>
      </font>
      <fill>
        <patternFill patternType="solid">
          <bgColor rgb="00FBECEF"/>
        </patternFill>
      </fill>
    </dxf>
    <dxf>
      <fill>
        <patternFill patternType="solid">
          <bgColor rgb="00FAF1E1"/>
        </patternFill>
      </fill>
    </dxf>
    <dxf>
      <font>
        <name val="Arial"/>
        <b val="1"/>
        <color rgb="000F7048"/>
        <sz val="10"/>
      </font>
      <fill>
        <patternFill patternType="solid">
          <bgColor rgb="00E8F3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08" customWidth="1" min="2" max="2"/>
  </cols>
  <sheetData>
    <row r="1">
      <c r="A1" s="1" t="inlineStr">
        <is>
          <t>ESTUDO DE VIABILIDADE — CANELADO FEMININO EM VENDA DIRETA</t>
        </is>
      </c>
    </row>
    <row r="2">
      <c r="A2" s="2" t="inlineStr">
        <is>
          <t>Modelo financeiro · Indústria de malharia feminina · 250 mil peças/mês · Revisão 01 · agosto de 2026</t>
        </is>
      </c>
    </row>
    <row r="4">
      <c r="A4" s="3" t="inlineStr">
        <is>
          <t>COMO USAR</t>
        </is>
      </c>
      <c r="B4" s="3" t="n"/>
    </row>
    <row r="5" ht="30" customHeight="1">
      <c r="A5" s="4" t="inlineStr">
        <is>
          <t>Passo 1</t>
        </is>
      </c>
      <c r="B5" s="5" t="inlineStr">
        <is>
          <t>Abra a aba "Premissas" e substitua os números AZUIS pelos dados reais da fábrica. Comece pelo custo por peça e pelo preço de atacado praticado.</t>
        </is>
      </c>
    </row>
    <row r="6" ht="30" customHeight="1">
      <c r="A6" s="4" t="inlineStr">
        <is>
          <t>Passo 2</t>
        </is>
      </c>
      <c r="B6" s="5" t="inlineStr">
        <is>
          <t>Confira a aba "Devolução" dentro de Premissas. Em moda feminina esta é a variável que mais destrói margem — não use a estimativa se você já tem o número real.</t>
        </is>
      </c>
    </row>
    <row r="7" ht="30" customHeight="1">
      <c r="A7" s="4" t="inlineStr">
        <is>
          <t>Passo 3</t>
        </is>
      </c>
      <c r="B7" s="5" t="inlineStr">
        <is>
          <t>A aba "Capacidade" responde à pergunta central: quanto ganha a fábrica inteira ao redirecionar X% da produção para venda direta.</t>
        </is>
      </c>
    </row>
    <row r="8" ht="30" customHeight="1">
      <c r="A8" s="4" t="inlineStr">
        <is>
          <t>Passo 4</t>
        </is>
      </c>
      <c r="B8" s="5" t="inlineStr">
        <is>
          <t>A aba "Projecao" traz a rampa de 12 meses. Os percentuais de alocação em azul são premissas — troque-os pela capacidade real da célula de logística reversa.</t>
        </is>
      </c>
    </row>
    <row r="10">
      <c r="A10" s="3" t="inlineStr">
        <is>
          <t>LEGENDA DE CORES</t>
        </is>
      </c>
      <c r="B10" s="3" t="n"/>
    </row>
    <row r="11">
      <c r="A11" s="4" t="inlineStr">
        <is>
          <t>Azul</t>
        </is>
      </c>
      <c r="B11" s="5" t="inlineStr">
        <is>
          <t>Você edita. É dado de entrada ou premissa.</t>
        </is>
      </c>
    </row>
    <row r="12">
      <c r="A12" s="6" t="inlineStr">
        <is>
          <t>Preto</t>
        </is>
      </c>
      <c r="B12" s="5" t="inlineStr">
        <is>
          <t>Fórmula. Não edite.</t>
        </is>
      </c>
    </row>
    <row r="13">
      <c r="A13" s="7" t="inlineStr">
        <is>
          <t>Verde</t>
        </is>
      </c>
      <c r="B13" s="5" t="inlineStr">
        <is>
          <t>Referência a outra aba desta planilha.</t>
        </is>
      </c>
    </row>
    <row r="14">
      <c r="A14" s="8" t="inlineStr">
        <is>
          <t>Fundo amarelo</t>
        </is>
      </c>
      <c r="B14" s="5" t="inlineStr">
        <is>
          <t>Premissa crítica: um erro aqui distorce todo o resultado.</t>
        </is>
      </c>
    </row>
    <row r="15">
      <c r="A15" s="9" t="n"/>
    </row>
    <row r="16">
      <c r="A16" s="3" t="inlineStr">
        <is>
          <t>O QUE ESTE MODELO RESPONDE</t>
        </is>
      </c>
      <c r="B16" s="3" t="n"/>
    </row>
    <row r="17">
      <c r="A17" s="4" t="inlineStr">
        <is>
          <t>Margem por canal</t>
        </is>
      </c>
      <c r="B17" s="5" t="inlineStr">
        <is>
          <t>Quanto sobra por peça em cada canal de venda direta, com o atacado B2B ao lado como linha de base.</t>
        </is>
      </c>
    </row>
    <row r="18">
      <c r="A18" s="4" t="inlineStr">
        <is>
          <t>Ganho da alocação</t>
        </is>
      </c>
      <c r="B18" s="5" t="inlineStr">
        <is>
          <t>Quanto a margem total da fábrica sobe ao redirecionar parte da produção — em reais por mês e em percentual.</t>
        </is>
      </c>
    </row>
    <row r="19" ht="30" customHeight="1">
      <c r="A19" s="4" t="inlineStr">
        <is>
          <t>Limite operacional</t>
        </is>
      </c>
      <c r="B19" s="5" t="inlineStr">
        <is>
          <t>Quantas devoluções por mês a operação precisa processar em cada nível de alocação. É o que limita a velocidade, não a demanda.</t>
        </is>
      </c>
    </row>
    <row r="20">
      <c r="A20" s="4" t="inlineStr">
        <is>
          <t>ROAS de equilíbrio</t>
        </is>
      </c>
      <c r="B20" s="5" t="inlineStr">
        <is>
          <t>O retorno mínimo sobre a verba de mídia para a loja própria não dar prejuízo.</t>
        </is>
      </c>
    </row>
    <row r="22">
      <c r="A22" s="3" t="inlineStr">
        <is>
          <t>O QUE ELE NÃO RESPONDE</t>
        </is>
      </c>
      <c r="B22" s="3" t="n"/>
    </row>
    <row r="23" ht="30" customHeight="1">
      <c r="A23" s="4" t="inlineStr">
        <is>
          <t>Não é consultoria fiscal</t>
        </is>
      </c>
      <c r="B23" s="5" t="inlineStr">
        <is>
          <t>A carga tributária de 14,04% é uma estimativa de Lucro Presumido com ICMS líquido presumido em 7%. O número real depende do estado, do regime especial e do perfil de créditos. A comparação Presumido x Real precisa ser feita pelo contador.</t>
        </is>
      </c>
    </row>
    <row r="24">
      <c r="A24" s="4" t="inlineStr">
        <is>
          <t>Não prevê demanda</t>
        </is>
      </c>
      <c r="B24" s="5" t="inlineStr">
        <is>
          <t>Os percentuais de alocação da aba Projecao são premissas de rampa, não previsão de vendas.</t>
        </is>
      </c>
    </row>
    <row r="25" ht="30" customHeight="1">
      <c r="A25" s="4" t="inlineStr">
        <is>
          <t>Não mede conflito de canal</t>
        </is>
      </c>
      <c r="B25" s="5" t="inlineStr">
        <is>
          <t>O maior risco do projeto — perder um cliente de atacado — não cabe em planilha. Está tratado na aba 06 do estudo em HTML.</t>
        </is>
      </c>
    </row>
    <row r="27">
      <c r="A27" s="3" t="inlineStr">
        <is>
          <t>FONTES</t>
        </is>
      </c>
      <c r="B27" s="3" t="n"/>
    </row>
    <row r="28" ht="30" customHeight="1">
      <c r="A28" s="4" t="inlineStr">
        <is>
          <t>Plataformas</t>
        </is>
      </c>
      <c r="B28" s="5" t="inlineStr">
        <is>
          <t>Mercado Livre: tabela 2026 e mudança de 02/03/2026 na tarifa logística. Shopee: tabela de março/2026 por faixa de preço. TikTok Shop: tabela de 15/07/2026 (6% + R$ 6 acima de R$ 50) e Programa de Frete Grátis a 6%.</t>
        </is>
      </c>
    </row>
    <row r="29" ht="30" customHeight="1">
      <c r="A29" s="4" t="inlineStr">
        <is>
          <t>Devolução</t>
        </is>
      </c>
      <c r="B29" s="5" t="inlineStr">
        <is>
          <t>Taxa de devolução no e-commerce brasileiro de moda em 2026: 30% a 40%, chegando a 50% em vestidos e alfaiataria em algumas operações. Custo de R$ 35 a R$ 65 por devolução.</t>
        </is>
      </c>
    </row>
    <row r="30" ht="30" customHeight="1">
      <c r="A30" s="4" t="inlineStr">
        <is>
          <t>Tributário</t>
        </is>
      </c>
      <c r="B30" s="5" t="inlineStr">
        <is>
          <t>IN RFB 2.306/2026: elevação de 10% nos percentuais de presunção de IRPJ e CSLL sobre a parcela da receita acima de R$ 5 milhões no ano. IN RFB 1.700/2017 para as alíquotas.</t>
        </is>
      </c>
    </row>
    <row r="31" ht="30" customHeight="1">
      <c r="A31" s="4" t="inlineStr">
        <is>
          <t>Mídia</t>
        </is>
      </c>
      <c r="B31" s="5" t="inlineStr">
        <is>
          <t>Repasse de PIS/Cofins e ISS no Meta Ads a partir de 01/01/2026 (+12,15%). Benchmarks de CPM, CPC e ROAS no Brasil em 2026.</t>
        </is>
      </c>
    </row>
    <row r="33">
      <c r="A33" s="4" t="inlineStr">
        <is>
          <t>Detalhe das tabelas</t>
        </is>
      </c>
      <c r="B33" s="5" t="inlineStr">
        <is>
          <t>Ver a aba "Taxas 2026".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80" customWidth="1" min="3" max="3"/>
  </cols>
  <sheetData>
    <row r="1">
      <c r="A1" s="1" t="inlineStr">
        <is>
          <t>PREMISSAS DO MODELO</t>
        </is>
      </c>
    </row>
    <row r="2">
      <c r="A2" s="2" t="inlineStr">
        <is>
          <t>Edite apenas as células AZUIS. As amarelas são as que mais mexem no resultado.</t>
        </is>
      </c>
    </row>
    <row r="4">
      <c r="A4" s="3" t="inlineStr">
        <is>
          <t>PEÇA</t>
        </is>
      </c>
      <c r="B4" s="3" t="n"/>
      <c r="C4" s="3" t="n"/>
    </row>
    <row r="5">
      <c r="A5" s="7" t="inlineStr">
        <is>
          <t>Custo de fabricação por peça</t>
        </is>
      </c>
      <c r="B5" s="10" t="n">
        <v>29.97</v>
      </c>
      <c r="C5" s="11" t="inlineStr">
        <is>
          <t>Vestido canelado midi. SUBSTITUA pelo custo real — ver aba Ficha de Custo.</t>
        </is>
      </c>
    </row>
    <row r="6">
      <c r="A6" s="7" t="inlineStr">
        <is>
          <t>Preço ao consumidor final</t>
        </is>
      </c>
      <c r="B6" s="10" t="n">
        <v>149</v>
      </c>
      <c r="C6" s="11" t="inlineStr">
        <is>
          <t>Preço da venda direta, o mesmo em todos os canais para a comparação ser honesta.</t>
        </is>
      </c>
    </row>
    <row r="8">
      <c r="A8" s="3" t="inlineStr">
        <is>
          <t>DEVOLUÇÃO — O RISCO DA CATEGORIA</t>
        </is>
      </c>
      <c r="B8" s="3" t="n"/>
      <c r="C8" s="3" t="n"/>
    </row>
    <row r="9">
      <c r="A9" s="7" t="inlineStr">
        <is>
          <t>Taxa de devolução</t>
        </is>
      </c>
      <c r="B9" s="12" t="n">
        <v>0.22</v>
      </c>
      <c r="C9" s="11" t="inlineStr">
        <is>
          <t>Moda no Brasil fica entre 30% e 40%; em vestidos e alfaiataria chega a 50% em algumas operações. 22% é uma premissa conservadora para malha canelada, que perdoa mais no caimento.</t>
        </is>
      </c>
    </row>
    <row r="10">
      <c r="A10" s="7" t="inlineStr">
        <is>
          <t>Custo logístico por devolução</t>
        </is>
      </c>
      <c r="B10" s="10" t="n">
        <v>30</v>
      </c>
      <c r="C10" s="11" t="inlineStr">
        <is>
          <t>Frete reverso mais recebimento, conferência, higienização e reintegração. O mercado reporta R$ 35 a R$ 65.</t>
        </is>
      </c>
    </row>
    <row r="11">
      <c r="A11" s="7" t="inlineStr">
        <is>
          <t>Devolvidas que viram 2ª linha</t>
        </is>
      </c>
      <c r="B11" s="13" t="n">
        <v>0.25</v>
      </c>
      <c r="C11" s="11" t="inlineStr">
        <is>
          <t>Percentual das peças devolvidas que não voltam ao estoque de 1ª qualidade — perda do CMV.</t>
        </is>
      </c>
    </row>
    <row r="12">
      <c r="A12" s="7" t="inlineStr">
        <is>
          <t>Provisão de devolução por peça</t>
        </is>
      </c>
      <c r="B12" s="14">
        <f>B9*(B10+B11*B5)</f>
        <v/>
      </c>
      <c r="C12" s="11" t="inlineStr">
        <is>
          <t>Taxa × (custo reverso + parcela do CMV perdida). É fixa em reais — por isso pesa muito mais em peça barata.</t>
        </is>
      </c>
    </row>
    <row r="14">
      <c r="A14" s="3" t="inlineStr">
        <is>
          <t>IMPOSTOS — FORA DO SIMPLES NACIONAL</t>
        </is>
      </c>
      <c r="B14" s="3" t="n"/>
      <c r="C14" s="3" t="n"/>
    </row>
    <row r="15">
      <c r="A15" s="7" t="inlineStr">
        <is>
          <t>Tributos federais</t>
        </is>
      </c>
      <c r="B15" s="15" t="n">
        <v>0.0704</v>
      </c>
      <c r="C15" s="11" t="inlineStr">
        <is>
          <t>Lucro Presumido: PIS+COFINS 3,65% + IRPJ 2,20% + CSLL 1,19%, já com a elevação de 10% na presunção da IN RFB 2.306/2026.</t>
        </is>
      </c>
    </row>
    <row r="16">
      <c r="A16" s="7" t="inlineStr">
        <is>
          <t>ICMS líquido de créditos</t>
        </is>
      </c>
      <c r="B16" s="15" t="n">
        <v>0.07000000000000001</v>
      </c>
      <c r="C16" s="11" t="inlineStr">
        <is>
          <t>ESTIMATIVA. Depende do estado, do regime especial e do perfil de créditos. Valide com o contador.</t>
        </is>
      </c>
    </row>
    <row r="17">
      <c r="A17" s="7" t="inlineStr">
        <is>
          <t>Carga tributária total</t>
        </is>
      </c>
      <c r="B17" s="16">
        <f>B15+B16</f>
        <v/>
      </c>
      <c r="C17" s="11" t="inlineStr">
        <is>
          <t>Com 250 mil peças/mês a empresa está muito acima do teto de R$ 4,8 milhões do Simples — a comparação com pequenos vendedores está errada por cerca de 9 pontos.</t>
        </is>
      </c>
    </row>
    <row r="19">
      <c r="A19" s="3" t="inlineStr">
        <is>
          <t>CAPACIDADE DA FÁBRICA</t>
        </is>
      </c>
      <c r="B19" s="3" t="n"/>
      <c r="C19" s="3" t="n"/>
    </row>
    <row r="20">
      <c r="A20" s="7" t="inlineStr">
        <is>
          <t>Produção mensal</t>
        </is>
      </c>
      <c r="B20" s="17" t="n">
        <v>250000</v>
      </c>
      <c r="C20" s="18" t="n"/>
    </row>
    <row r="21">
      <c r="A21" s="7" t="inlineStr">
        <is>
          <t>Alocado à venda direta</t>
        </is>
      </c>
      <c r="B21" s="12" t="n">
        <v>0.05</v>
      </c>
      <c r="C21" s="11" t="inlineStr">
        <is>
          <t>Percentual da produção redirecionado. A aba Capacidade mostra o efeito de cada nível.</t>
        </is>
      </c>
    </row>
    <row r="23">
      <c r="A23" s="3" t="inlineStr">
        <is>
          <t>ATACADO B2B — LINHA DE BASE</t>
        </is>
      </c>
      <c r="B23" s="3" t="n"/>
      <c r="C23" s="3" t="n"/>
    </row>
    <row r="24">
      <c r="A24" s="7" t="inlineStr">
        <is>
          <t>Preço de atacado</t>
        </is>
      </c>
      <c r="B24" s="10" t="n">
        <v>52</v>
      </c>
      <c r="C24" s="11" t="inlineStr">
        <is>
          <t>O que a fábrica cobra hoje do lojista. É contra este número que toda a venda direta é comparada.</t>
        </is>
      </c>
    </row>
    <row r="25">
      <c r="A25" s="7" t="inlineStr">
        <is>
          <t>Comissão de representante</t>
        </is>
      </c>
      <c r="B25" s="19" t="n">
        <v>0.05</v>
      </c>
      <c r="C25" s="18" t="n"/>
    </row>
    <row r="26">
      <c r="A26" s="7" t="inlineStr">
        <is>
          <t>Frete rateado por peça</t>
        </is>
      </c>
      <c r="B26" s="20" t="n">
        <v>1.2</v>
      </c>
      <c r="C26" s="11" t="inlineStr">
        <is>
          <t>Carga fechada, muito menor que o frete unitário do e-commerce.</t>
        </is>
      </c>
    </row>
    <row r="27">
      <c r="A27" s="7" t="inlineStr">
        <is>
          <t>Devolução B2B</t>
        </is>
      </c>
      <c r="B27" s="19" t="n">
        <v>0.01</v>
      </c>
      <c r="C27" s="11" t="inlineStr">
        <is>
          <t>Devolução no atacado é rara e consolidada — nada parecido com o varejo.</t>
        </is>
      </c>
    </row>
    <row r="29">
      <c r="A29" s="3" t="inlineStr">
        <is>
          <t>MERCADO LIVRE</t>
        </is>
      </c>
      <c r="B29" s="3" t="n"/>
      <c r="C29" s="3" t="n"/>
    </row>
    <row r="30">
      <c r="A30" s="7" t="inlineStr">
        <is>
          <t>Comissão — categoria Moda</t>
        </is>
      </c>
      <c r="B30" s="19" t="n">
        <v>0.14</v>
      </c>
      <c r="C30" s="11" t="inlineStr">
        <is>
          <t>Clássico 14%. Premium 19%, com 12x sem juros e mais exposição.</t>
        </is>
      </c>
    </row>
    <row r="31">
      <c r="A31" s="7" t="inlineStr">
        <is>
          <t>Frete líquido do vendedor</t>
        </is>
      </c>
      <c r="B31" s="20" t="n">
        <v>17</v>
      </c>
      <c r="C31" s="11" t="inlineStr">
        <is>
          <t>Só se aplica a partir de R$ 79, quando o frete grátis vira obrigatório.</t>
        </is>
      </c>
    </row>
    <row r="32">
      <c r="A32" s="7" t="inlineStr">
        <is>
          <t>Tarifa logística abaixo de R$ 79</t>
        </is>
      </c>
      <c r="B32" s="20" t="n">
        <v>6.5</v>
      </c>
      <c r="C32" s="11" t="inlineStr">
        <is>
          <t>Desde 02/03/2026 é variável por peso e dimensão.</t>
        </is>
      </c>
    </row>
    <row r="33">
      <c r="A33" s="7" t="inlineStr">
        <is>
          <t>ACOS — Product Ads</t>
        </is>
      </c>
      <c r="B33" s="19" t="n">
        <v>0.07000000000000001</v>
      </c>
      <c r="C33" s="11" t="inlineStr">
        <is>
          <t>Anúncio novo em moda não sai da página 4 sem mídia.</t>
        </is>
      </c>
    </row>
    <row r="35">
      <c r="A35" s="3" t="inlineStr">
        <is>
          <t>SHOPEE</t>
        </is>
      </c>
      <c r="B35" s="3" t="n"/>
      <c r="C35" s="3" t="n"/>
    </row>
    <row r="36">
      <c r="A36" s="7" t="inlineStr">
        <is>
          <t>Frete pago pelo vendedor</t>
        </is>
      </c>
      <c r="B36" s="20" t="n">
        <v>0</v>
      </c>
      <c r="C36" s="11" t="inlineStr">
        <is>
          <t>Zero no fluxo padrão: o Programa de Frete Grátis é obrigatório desde março/2026 e está embutido na comissão.</t>
        </is>
      </c>
    </row>
    <row r="37">
      <c r="A37" s="7" t="inlineStr">
        <is>
          <t>ACOS — Shopee Ads</t>
        </is>
      </c>
      <c r="B37" s="19" t="n">
        <v>0.08</v>
      </c>
      <c r="C37" s="18" t="n"/>
    </row>
    <row r="39">
      <c r="A39" s="3" t="inlineStr">
        <is>
          <t>TIKTOK SHOP</t>
        </is>
      </c>
      <c r="B39" s="3" t="n"/>
      <c r="C39" s="3" t="n"/>
    </row>
    <row r="40">
      <c r="A40" s="7" t="inlineStr">
        <is>
          <t>Programa de frete grátis</t>
        </is>
      </c>
      <c r="B40" s="19" t="n">
        <v>0.06</v>
      </c>
      <c r="C40" s="11" t="inlineStr">
        <is>
          <t>6% sobre o valor do produto.</t>
        </is>
      </c>
    </row>
    <row r="41">
      <c r="A41" s="7" t="inlineStr">
        <is>
          <t>Comissão de afiliado</t>
        </is>
      </c>
      <c r="B41" s="15" t="n">
        <v>0.18</v>
      </c>
      <c r="C41" s="11" t="inlineStr">
        <is>
          <t>Em moda feminina a prática é 15% a 20%. É a comissão que GERA a demanda — não é custo desperdiçado.</t>
        </is>
      </c>
    </row>
    <row r="42">
      <c r="A42" s="7" t="inlineStr">
        <is>
          <t>ACOS — anúncios</t>
        </is>
      </c>
      <c r="B42" s="19" t="n">
        <v>0.05</v>
      </c>
      <c r="C42" s="18" t="n"/>
    </row>
    <row r="44">
      <c r="A44" s="3" t="inlineStr">
        <is>
          <t>LOJA PRÓPRIA</t>
        </is>
      </c>
      <c r="B44" s="3" t="n"/>
      <c r="C44" s="3" t="n"/>
    </row>
    <row r="45">
      <c r="A45" s="7" t="inlineStr">
        <is>
          <t>Gateway de pagamento</t>
        </is>
      </c>
      <c r="B45" s="19" t="n">
        <v>0.0499</v>
      </c>
      <c r="C45" s="11" t="inlineStr">
        <is>
          <t>Crédito à vista.</t>
        </is>
      </c>
    </row>
    <row r="46">
      <c r="A46" s="7" t="inlineStr">
        <is>
          <t>Gateway — taxa fixa</t>
        </is>
      </c>
      <c r="B46" s="20" t="n">
        <v>0.39</v>
      </c>
      <c r="C46" s="18" t="n"/>
    </row>
    <row r="47">
      <c r="A47" s="7" t="inlineStr">
        <is>
          <t>Frete pago pela loja</t>
        </is>
      </c>
      <c r="B47" s="20" t="n">
        <v>17</v>
      </c>
      <c r="C47" s="18" t="n"/>
    </row>
    <row r="48">
      <c r="A48" s="7" t="inlineStr">
        <is>
          <t>Plataforma e apps por pedido</t>
        </is>
      </c>
      <c r="B48" s="20" t="n">
        <v>1.2</v>
      </c>
      <c r="C48" s="18" t="n"/>
    </row>
    <row r="49">
      <c r="A49" s="7" t="inlineStr">
        <is>
          <t>ROAS da mídia</t>
        </is>
      </c>
      <c r="B49" s="21" t="n">
        <v>3</v>
      </c>
      <c r="C49" s="11" t="inlineStr">
        <is>
          <t>Receita dividida pela verba. A mediana de e-commerce em Meta Ads é 1,93x.</t>
        </is>
      </c>
    </row>
    <row r="51">
      <c r="A51" s="3" t="inlineStr">
        <is>
          <t>ESTRUTURA DA OPERAÇÃO DIRETA</t>
        </is>
      </c>
      <c r="B51" s="3" t="n"/>
      <c r="C51" s="3" t="n"/>
    </row>
    <row r="52">
      <c r="A52" s="7" t="inlineStr">
        <is>
          <t>Custo fixo mensal</t>
        </is>
      </c>
      <c r="B52" s="22" t="n">
        <v>91000</v>
      </c>
      <c r="C52" s="11" t="inlineStr">
        <is>
          <t>Equipe dedicada, estúdio de foto interno, sistemas e espaço. Não existe hoje — é estrutura nova.</t>
        </is>
      </c>
    </row>
    <row r="53">
      <c r="A53" s="7" t="inlineStr">
        <is>
          <t>Investimento inicial</t>
        </is>
      </c>
      <c r="B53" s="22" t="n">
        <v>700000</v>
      </c>
      <c r="C53" s="11" t="inlineStr">
        <is>
          <t>Estúdio, sistemas, adequação da célula de reversa, capital de giro incremental e caixa de mídia.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62" customWidth="1" min="6" max="6"/>
  </cols>
  <sheetData>
    <row r="1">
      <c r="A1" s="1" t="inlineStr">
        <is>
          <t>FICHA TÉCNICA DE CUSTO — CANELADO FEMININO</t>
        </is>
      </c>
    </row>
    <row r="2">
      <c r="A2" s="2" t="inlineStr">
        <is>
          <t>Estimativas de mercado calibradas por consumo de malha canelada e preço industrial de 2026. SUBSTITUA pela contabilidade de custos da fábrica.</t>
        </is>
      </c>
    </row>
    <row r="4">
      <c r="A4" s="23" t="inlineStr">
        <is>
          <t>Componente</t>
        </is>
      </c>
      <c r="B4" s="24" t="inlineStr">
        <is>
          <t>Blusa</t>
        </is>
      </c>
      <c r="C4" s="24" t="inlineStr">
        <is>
          <t>Saia midi</t>
        </is>
      </c>
      <c r="D4" s="24" t="inlineStr">
        <is>
          <t>Vestido midi</t>
        </is>
      </c>
      <c r="E4" s="24" t="inlineStr">
        <is>
          <t>Conjunto</t>
        </is>
      </c>
      <c r="F4" s="23" t="inlineStr">
        <is>
          <t>Observação</t>
        </is>
      </c>
    </row>
    <row r="5">
      <c r="A5" s="7" t="inlineStr">
        <is>
          <t>Consumo de malha (kg/peça)</t>
        </is>
      </c>
      <c r="B5" s="25" t="n">
        <v>0.25</v>
      </c>
      <c r="C5" s="25" t="n">
        <v>0.3</v>
      </c>
      <c r="D5" s="25" t="n">
        <v>0.42</v>
      </c>
      <c r="F5" s="11" t="inlineStr">
        <is>
          <t>Peso da peça acabada mais perda de encaixe. Canelado a ~280 g/m², tamanho médio M/G.</t>
        </is>
      </c>
    </row>
    <row r="6">
      <c r="A6" s="7" t="inlineStr">
        <is>
          <t>Preço da malha (R$/kg)</t>
        </is>
      </c>
      <c r="B6" s="26" t="n">
        <v>38</v>
      </c>
      <c r="C6" s="26" t="n">
        <v>38</v>
      </c>
      <c r="D6" s="26" t="n">
        <v>38</v>
      </c>
      <c r="F6" s="11" t="inlineStr">
        <is>
          <t>Compra industrial. Lojas de tecido no varejo cobram de R$ 57 a R$ 120/kg — quem compra tonelada não paga isso. Maior alavanca de custo do modelo.</t>
        </is>
      </c>
    </row>
    <row r="7">
      <c r="A7" s="7" t="inlineStr">
        <is>
          <t>Malha</t>
        </is>
      </c>
      <c r="B7" s="27">
        <f>B5*B6</f>
        <v/>
      </c>
      <c r="C7" s="27">
        <f>C5*C6</f>
        <v/>
      </c>
      <c r="D7" s="27">
        <f>D5*D6</f>
        <v/>
      </c>
      <c r="F7" s="18" t="n"/>
    </row>
    <row r="8">
      <c r="A8" s="7" t="inlineStr">
        <is>
          <t>Aviamentos, elastano, etiqueta</t>
        </is>
      </c>
      <c r="B8" s="28" t="n">
        <v>1.4</v>
      </c>
      <c r="C8" s="28" t="n">
        <v>1.2</v>
      </c>
      <c r="D8" s="28" t="n">
        <v>1.9</v>
      </c>
      <c r="F8" s="18" t="n"/>
    </row>
    <row r="9">
      <c r="A9" s="7" t="inlineStr">
        <is>
          <t>Facção — corte, costura, acabamento</t>
        </is>
      </c>
      <c r="B9" s="28" t="n">
        <v>7.2</v>
      </c>
      <c r="C9" s="28" t="n">
        <v>6.8</v>
      </c>
      <c r="D9" s="28" t="n">
        <v>9.5</v>
      </c>
      <c r="F9" s="11" t="inlineStr">
        <is>
          <t>Se a linha roda com capacidade ociosa, o custo marginal real é menor — ver observação abaixo.</t>
        </is>
      </c>
    </row>
    <row r="10">
      <c r="A10" s="7" t="inlineStr">
        <is>
          <t>Embalagem</t>
        </is>
      </c>
      <c r="B10" s="28" t="n">
        <v>1.3</v>
      </c>
      <c r="C10" s="28" t="n">
        <v>1.3</v>
      </c>
      <c r="D10" s="28" t="n">
        <v>1.6</v>
      </c>
      <c r="F10" s="18" t="n"/>
    </row>
    <row r="11">
      <c r="A11" s="7" t="inlineStr">
        <is>
          <t>Perdas e 2ª qualidade (%)</t>
        </is>
      </c>
      <c r="B11" s="29" t="n">
        <v>0.035</v>
      </c>
      <c r="C11" s="29" t="n">
        <v>0.035</v>
      </c>
      <c r="D11" s="29" t="n">
        <v>0.035</v>
      </c>
      <c r="F11" s="18" t="n"/>
    </row>
    <row r="12">
      <c r="A12" s="7" t="inlineStr">
        <is>
          <t>Perdas e 2ª qualidade (R$)</t>
        </is>
      </c>
      <c r="B12" s="27">
        <f>SUM(B7:B10)*B11</f>
        <v/>
      </c>
      <c r="C12" s="27">
        <f>SUM(C7:C10)*C11</f>
        <v/>
      </c>
      <c r="D12" s="27">
        <f>SUM(D7:D10)*D11</f>
        <v/>
      </c>
      <c r="F12" s="18" t="n"/>
    </row>
    <row r="13">
      <c r="A13" s="4" t="inlineStr">
        <is>
          <t>CUSTO TOTAL POR PEÇA</t>
        </is>
      </c>
      <c r="B13" s="30">
        <f>SUM(B7:B10)+B12</f>
        <v/>
      </c>
      <c r="C13" s="30">
        <f>SUM(C7:C10)+C12</f>
        <v/>
      </c>
      <c r="D13" s="30">
        <f>SUM(D7:D10)+D12</f>
        <v/>
      </c>
      <c r="E13" s="31">
        <f>B13+C13</f>
        <v/>
      </c>
      <c r="F13" s="11" t="inlineStr">
        <is>
          <t>O conjunto é blusa + saia vendidas como um único SKU: uma venda, um frete, uma devolução.</t>
        </is>
      </c>
    </row>
    <row r="14">
      <c r="F14" s="18" t="n"/>
    </row>
    <row r="15">
      <c r="A15" s="7" t="inlineStr">
        <is>
          <t>Preço sugerido ao consumidor</t>
        </is>
      </c>
      <c r="B15" s="28" t="n">
        <v>89</v>
      </c>
      <c r="C15" s="28" t="n">
        <v>99</v>
      </c>
      <c r="D15" s="28" t="n">
        <v>149</v>
      </c>
      <c r="E15" s="28" t="n">
        <v>189</v>
      </c>
      <c r="F15" s="18" t="n"/>
    </row>
    <row r="16">
      <c r="A16" s="7" t="inlineStr">
        <is>
          <t>Markup sobre o custo</t>
        </is>
      </c>
      <c r="B16" s="32">
        <f>B15/B13</f>
        <v/>
      </c>
      <c r="C16" s="32">
        <f>C15/C13</f>
        <v/>
      </c>
      <c r="D16" s="32">
        <f>D15/D13</f>
        <v/>
      </c>
      <c r="E16" s="32">
        <f>E15/E13</f>
        <v/>
      </c>
      <c r="F16" s="18" t="n"/>
    </row>
    <row r="17">
      <c r="A17" s="7" t="inlineStr">
        <is>
          <t>Preço de atacado praticado</t>
        </is>
      </c>
      <c r="B17" s="28" t="n">
        <v>35</v>
      </c>
      <c r="C17" s="28" t="n">
        <v>37</v>
      </c>
      <c r="D17" s="28" t="n">
        <v>52</v>
      </c>
      <c r="E17" s="28" t="n">
        <v>73</v>
      </c>
      <c r="F17" s="11" t="inlineStr">
        <is>
          <t>O que a fábrica cobra do lojista hoje. A diferença para a linha 15 é o prêmio da venda direta.</t>
        </is>
      </c>
    </row>
    <row r="19">
      <c r="A19" s="3" t="inlineStr">
        <is>
          <t>DUAS OBSERVAÇÕES QUE MUDAM O RESULTADO</t>
        </is>
      </c>
      <c r="B19" s="3" t="n"/>
      <c r="C19" s="3" t="n"/>
      <c r="D19" s="3" t="n"/>
      <c r="E19" s="3" t="n"/>
      <c r="F19" s="3" t="n"/>
    </row>
    <row r="20" ht="48" customHeight="1">
      <c r="A20" s="5" t="inlineStr">
        <is>
          <t>Capacidade ociosa: se a linha já roda com folga, o custo marginal da peça é apenas malha, aviamentos e embalagem — a facção não deveria ser cobrada integralmente. Nesse caso a margem real fica de 5 a 8 pontos acima do que este modelo mostra. Se a fábrica está cheia, o custo de oportunidade é integral e o modelo está correto.</t>
        </is>
      </c>
    </row>
    <row r="21" ht="48" customHeight="1">
      <c r="A21" s="5" t="inlineStr">
        <is>
          <t>Ticket mínimo: a provisão de devolução é FIXA em reais. Ela pesa 8,7% sobre uma blusa de R$ 89 e 5,5% sobre um vestido de R$ 149. É por isso que a blusa avulsa entrega 14,6% e o conjunto entrega 29,3% — mesma malha, mesma fábrica, margem dobrada.</t>
        </is>
      </c>
    </row>
  </sheetData>
  <mergeCells count="2">
    <mergeCell ref="A20:F20"/>
    <mergeCell ref="A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64" customWidth="1" min="7" max="7"/>
  </cols>
  <sheetData>
    <row r="1">
      <c r="A1" s="1" t="inlineStr">
        <is>
          <t>MARGEM POR CANAL — COM O ATACADO COMO LINHA DE BASE</t>
        </is>
      </c>
    </row>
    <row r="2">
      <c r="A2" s="2" t="inlineStr">
        <is>
          <t>Tudo aqui é fórmula e vem da aba Premissas. Para simular, mude os números lá.</t>
        </is>
      </c>
    </row>
    <row r="4">
      <c r="A4" s="23" t="inlineStr">
        <is>
          <t>Rubrica</t>
        </is>
      </c>
      <c r="B4" s="24" t="inlineStr">
        <is>
          <t>Mercado Livre</t>
        </is>
      </c>
      <c r="C4" s="24" t="inlineStr">
        <is>
          <t>Shopee</t>
        </is>
      </c>
      <c r="D4" s="24" t="inlineStr">
        <is>
          <t>TikTok Shop</t>
        </is>
      </c>
      <c r="E4" s="24" t="inlineStr">
        <is>
          <t>Loja própria</t>
        </is>
      </c>
      <c r="F4" s="33" t="inlineStr">
        <is>
          <t>Atacado B2B</t>
        </is>
      </c>
      <c r="G4" s="23" t="inlineStr">
        <is>
          <t>Como é calculado</t>
        </is>
      </c>
    </row>
    <row r="5">
      <c r="A5" s="4" t="inlineStr">
        <is>
          <t>Receita bruta</t>
        </is>
      </c>
      <c r="B5" s="34">
        <f>Premissas!$B$6</f>
        <v/>
      </c>
      <c r="C5" s="34">
        <f>Premissas!$B$6</f>
        <v/>
      </c>
      <c r="D5" s="34">
        <f>Premissas!$B$6</f>
        <v/>
      </c>
      <c r="E5" s="34">
        <f>Premissas!$B$6</f>
        <v/>
      </c>
      <c r="F5" s="35">
        <f>Premissas!$B$24</f>
        <v/>
      </c>
      <c r="G5" s="11" t="inlineStr">
        <is>
          <t>Venda direta: Premissas!B6. Atacado: Premissas!B24.</t>
        </is>
      </c>
    </row>
    <row r="6">
      <c r="A6" s="7" t="inlineStr">
        <is>
          <t>Comissão (%)</t>
        </is>
      </c>
      <c r="B6" s="36">
        <f>Premissas!$B$30</f>
        <v/>
      </c>
      <c r="C6" s="36">
        <f>IF(C$5&lt;8,0.5,IF(C$5&lt;80,0.2,0.14))</f>
        <v/>
      </c>
      <c r="D6" s="36">
        <f>IF(D$5&lt;50,0.1,0.06)</f>
        <v/>
      </c>
      <c r="E6" s="36">
        <f>Premissas!$B$45</f>
        <v/>
      </c>
      <c r="F6" s="36">
        <f>Premissas!$B$25</f>
        <v/>
      </c>
      <c r="G6" s="11" t="inlineStr">
        <is>
          <t>Shopee: faixa de março/2026. TikTok: 10% abaixo de R$ 50, 6% acima. Atacado: comissão de representante.</t>
        </is>
      </c>
    </row>
    <row r="7">
      <c r="A7" s="7" t="inlineStr">
        <is>
          <t>Comissão (R$)</t>
        </is>
      </c>
      <c r="B7" s="27">
        <f>B5*B6</f>
        <v/>
      </c>
      <c r="C7" s="27">
        <f>C5*C6</f>
        <v/>
      </c>
      <c r="D7" s="27">
        <f>D5*D6</f>
        <v/>
      </c>
      <c r="E7" s="27">
        <f>E5*E6+Premissas!$B$46</f>
        <v/>
      </c>
      <c r="F7" s="27">
        <f>F5*F6</f>
        <v/>
      </c>
      <c r="G7" s="18" t="n"/>
    </row>
    <row r="8">
      <c r="A8" s="7" t="inlineStr">
        <is>
          <t>Taxa fixa por item (R$)</t>
        </is>
      </c>
      <c r="B8" s="27">
        <f>IF(B5&lt;79,Premissas!$B$32,0)</f>
        <v/>
      </c>
      <c r="C8" s="27">
        <f>IF(C5&lt;8,0,IF(C5&lt;80,4,IF(C5&lt;100,16,IF(C5&lt;200,20,26))))</f>
        <v/>
      </c>
      <c r="D8" s="27">
        <f>IF(D5&lt;50,0,6)</f>
        <v/>
      </c>
      <c r="E8" s="27">
        <f>Premissas!$B$48</f>
        <v/>
      </c>
      <c r="F8" s="27" t="n">
        <v>0</v>
      </c>
      <c r="G8" s="18" t="n"/>
    </row>
    <row r="9">
      <c r="A9" s="7" t="inlineStr">
        <is>
          <t>Frete (R$)</t>
        </is>
      </c>
      <c r="B9" s="27">
        <f>IF(B5&gt;=79,Premissas!$B$31,0)</f>
        <v/>
      </c>
      <c r="C9" s="27">
        <f>Premissas!$B$36</f>
        <v/>
      </c>
      <c r="D9" s="27">
        <f>D5*Premissas!$B$40</f>
        <v/>
      </c>
      <c r="E9" s="27">
        <f>Premissas!$B$47</f>
        <v/>
      </c>
      <c r="F9" s="27">
        <f>Premissas!$B$26</f>
        <v/>
      </c>
      <c r="G9" s="11" t="inlineStr">
        <is>
          <t>Atacado usa frete de carga fechada, uma fração do frete unitário do e-commerce.</t>
        </is>
      </c>
    </row>
    <row r="10">
      <c r="A10" s="7" t="inlineStr">
        <is>
          <t>Mídia e afiliados (R$)</t>
        </is>
      </c>
      <c r="B10" s="27">
        <f>B5*Premissas!$B$33</f>
        <v/>
      </c>
      <c r="C10" s="27">
        <f>C5*Premissas!$B$37</f>
        <v/>
      </c>
      <c r="D10" s="27">
        <f>D5*(Premissas!$B$41+Premissas!$B$42)</f>
        <v/>
      </c>
      <c r="E10" s="27">
        <f>E5/Premissas!$B$49</f>
        <v/>
      </c>
      <c r="F10" s="27" t="n">
        <v>0</v>
      </c>
      <c r="G10" s="11" t="inlineStr">
        <is>
          <t>No TikTok, comissão de afiliado + ACOS. Na loja própria, preço dividido pelo ROAS.</t>
        </is>
      </c>
    </row>
    <row r="11">
      <c r="A11" s="7" t="inlineStr">
        <is>
          <t>Imposto (R$)</t>
        </is>
      </c>
      <c r="B11" s="27">
        <f>B5*Premissas!$B$17</f>
        <v/>
      </c>
      <c r="C11" s="27">
        <f>C5*Premissas!$B$17</f>
        <v/>
      </c>
      <c r="D11" s="27">
        <f>D5*Premissas!$B$17</f>
        <v/>
      </c>
      <c r="E11" s="27">
        <f>E5*Premissas!$B$17</f>
        <v/>
      </c>
      <c r="F11" s="27">
        <f>F5*Premissas!$B$17</f>
        <v/>
      </c>
      <c r="G11" s="18" t="n"/>
    </row>
    <row r="12">
      <c r="A12" s="7" t="inlineStr">
        <is>
          <t>Provisão de devolução (R$)</t>
        </is>
      </c>
      <c r="B12" s="27">
        <f>Premissas!$B$12</f>
        <v/>
      </c>
      <c r="C12" s="27">
        <f>Premissas!$B$12</f>
        <v/>
      </c>
      <c r="D12" s="27">
        <f>Premissas!$B$12</f>
        <v/>
      </c>
      <c r="E12" s="27">
        <f>Premissas!$B$12</f>
        <v/>
      </c>
      <c r="F12" s="27">
        <f>Premissas!$B$27*(Premissas!$B$10*0.4+Premissas!$B$5)</f>
        <v/>
      </c>
      <c r="G12" s="11" t="inlineStr">
        <is>
          <t>No atacado a devolução é rara e consolidada: 40% do custo reverso unitário e perda integral do CMV.</t>
        </is>
      </c>
    </row>
    <row r="13">
      <c r="A13" s="7" t="inlineStr">
        <is>
          <t>CMV — custo de fabricação</t>
        </is>
      </c>
      <c r="B13" s="27">
        <f>Premissas!$B$5</f>
        <v/>
      </c>
      <c r="C13" s="27">
        <f>Premissas!$B$5</f>
        <v/>
      </c>
      <c r="D13" s="27">
        <f>Premissas!$B$5</f>
        <v/>
      </c>
      <c r="E13" s="27">
        <f>Premissas!$B$5</f>
        <v/>
      </c>
      <c r="F13" s="27">
        <f>Premissas!$B$5</f>
        <v/>
      </c>
      <c r="G13" s="18" t="n"/>
    </row>
    <row r="14">
      <c r="A14" s="4" t="inlineStr">
        <is>
          <t>TOTAL DE CUSTOS</t>
        </is>
      </c>
      <c r="B14" s="30">
        <f>SUM(B7:B13)</f>
        <v/>
      </c>
      <c r="C14" s="30">
        <f>SUM(C7:C13)</f>
        <v/>
      </c>
      <c r="D14" s="30">
        <f>SUM(D7:D13)</f>
        <v/>
      </c>
      <c r="E14" s="30">
        <f>SUM(E7:E13)</f>
        <v/>
      </c>
      <c r="F14" s="37">
        <f>SUM(F7:F13)</f>
        <v/>
      </c>
      <c r="G14" s="18" t="n"/>
    </row>
    <row r="15">
      <c r="A15" s="4" t="inlineStr">
        <is>
          <t>MARGEM DE CONTRIBUIÇÃO (R$)</t>
        </is>
      </c>
      <c r="B15" s="38">
        <f>B5-B14</f>
        <v/>
      </c>
      <c r="C15" s="38">
        <f>C5-C14</f>
        <v/>
      </c>
      <c r="D15" s="38">
        <f>D5-D14</f>
        <v/>
      </c>
      <c r="E15" s="38">
        <f>E5-E14</f>
        <v/>
      </c>
      <c r="F15" s="38">
        <f>F5-F14</f>
        <v/>
      </c>
      <c r="G15" s="18" t="n"/>
    </row>
    <row r="16">
      <c r="A16" s="4" t="inlineStr">
        <is>
          <t>MARGEM DE CONTRIBUIÇÃO (%)</t>
        </is>
      </c>
      <c r="B16" s="39">
        <f>IF(B5=0,0,B15/B5)</f>
        <v/>
      </c>
      <c r="C16" s="39">
        <f>IF(C5=0,0,C15/C5)</f>
        <v/>
      </c>
      <c r="D16" s="39">
        <f>IF(D5=0,0,D15/D5)</f>
        <v/>
      </c>
      <c r="E16" s="39">
        <f>IF(E5=0,0,E15/E5)</f>
        <v/>
      </c>
      <c r="F16" s="39">
        <f>IF(F5=0,0,F15/F5)</f>
        <v/>
      </c>
      <c r="G16" s="18" t="n"/>
    </row>
    <row r="17">
      <c r="A17" s="4" t="inlineStr">
        <is>
          <t>Multiplicador sobre o atacado</t>
        </is>
      </c>
      <c r="B17" s="40">
        <f>IF($F$15&lt;=0,"—",B15/$F$15)</f>
        <v/>
      </c>
      <c r="C17" s="40">
        <f>IF($F$15&lt;=0,"—",C15/$F$15)</f>
        <v/>
      </c>
      <c r="D17" s="40">
        <f>IF($F$15&lt;=0,"—",D15/$F$15)</f>
        <v/>
      </c>
      <c r="E17" s="40">
        <f>IF($F$15&lt;=0,"—",E15/$F$15)</f>
        <v/>
      </c>
      <c r="F17" s="41" t="inlineStr">
        <is>
          <t>linha de base</t>
        </is>
      </c>
      <c r="G17" s="11" t="inlineStr">
        <is>
          <t>Quantas vezes a margem por peça da venda direta supera a do atacado. É o número que justifica o projeto.</t>
        </is>
      </c>
    </row>
    <row r="18">
      <c r="A18" s="7" t="inlineStr">
        <is>
          <t>Veredito</t>
        </is>
      </c>
      <c r="B18" s="42">
        <f>IF(B16&lt;0,"PREJUÍZO",IF(B16&lt;0.20,"APERTADO",IF(B16&lt;0.28,"SAUDÁVEL","FORTE")))</f>
        <v/>
      </c>
      <c r="C18" s="42">
        <f>IF(C16&lt;0,"PREJUÍZO",IF(C16&lt;0.20,"APERTADO",IF(C16&lt;0.28,"SAUDÁVEL","FORTE")))</f>
        <v/>
      </c>
      <c r="D18" s="42">
        <f>IF(D16&lt;0,"PREJUÍZO",IF(D16&lt;0.20,"APERTADO",IF(D16&lt;0.28,"SAUDÁVEL","FORTE")))</f>
        <v/>
      </c>
      <c r="E18" s="42">
        <f>IF(E16&lt;0,"PREJUÍZO",IF(E16&lt;0.20,"APERTADO",IF(E16&lt;0.28,"SAUDÁVEL","FORTE")))</f>
        <v/>
      </c>
      <c r="F18" s="42">
        <f>IF(F16&lt;0,"PREJUÍZO",IF(F16&lt;0.20,"APERTADO",IF(F16&lt;0.28,"SAUDÁVEL","FORTE")))</f>
        <v/>
      </c>
      <c r="G18" s="18" t="n"/>
    </row>
    <row r="19">
      <c r="G19" s="18" t="n"/>
    </row>
    <row r="20">
      <c r="A20" s="7" t="inlineStr">
        <is>
          <t>Margem antes de mídia (%)</t>
        </is>
      </c>
      <c r="B20" s="43">
        <f>IF(B5=0,0,(B15+B10)/B5)</f>
        <v/>
      </c>
      <c r="C20" s="43">
        <f>IF(C5=0,0,(C15+C10)/C5)</f>
        <v/>
      </c>
      <c r="D20" s="43">
        <f>IF(D5=0,0,(D15+D10)/D5)</f>
        <v/>
      </c>
      <c r="E20" s="43">
        <f>IF(E5=0,0,(E15+E10)/E5)</f>
        <v/>
      </c>
      <c r="G20" s="18" t="n"/>
    </row>
    <row r="21">
      <c r="A21" s="4" t="inlineStr">
        <is>
          <t>ROAS de equilíbrio (loja própria)</t>
        </is>
      </c>
      <c r="E21" s="40">
        <f>IF(E20&lt;=0,"—",1/E20)</f>
        <v/>
      </c>
      <c r="G21" s="11" t="inlineStr">
        <is>
          <t>Inverso da margem antes de mídia. Abaixo disso, cada venda na loja própria dá prejuízo. A mediana de mercado é 1,93x.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58" customWidth="1" min="8" max="8"/>
  </cols>
  <sheetData>
    <row r="1">
      <c r="A1" s="1" t="inlineStr">
        <is>
          <t>ALOCAÇÃO DE CAPACIDADE — A PERGUNTA CENTRAL</t>
        </is>
      </c>
    </row>
    <row r="2">
      <c r="A2" s="2" t="inlineStr">
        <is>
          <t>Quanto a margem TOTAL da fábrica sobe ao redirecionar parte da produção para venda direta.</t>
        </is>
      </c>
    </row>
    <row r="4">
      <c r="A4" s="3" t="inlineStr">
        <is>
          <t>MIX DE CANAIS DA VENDA DIRETA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Canal</t>
        </is>
      </c>
      <c r="B5" s="42" t="inlineStr">
        <is>
          <t>Mercado Livre</t>
        </is>
      </c>
      <c r="C5" s="42" t="inlineStr">
        <is>
          <t>Shopee</t>
        </is>
      </c>
      <c r="D5" s="42" t="inlineStr">
        <is>
          <t>TikTok Shop</t>
        </is>
      </c>
      <c r="E5" s="42" t="inlineStr">
        <is>
          <t>Loja própria</t>
        </is>
      </c>
    </row>
    <row r="6">
      <c r="A6" s="7" t="inlineStr">
        <is>
          <t>Participação no mix</t>
        </is>
      </c>
      <c r="B6" s="44" t="n">
        <v>0.45</v>
      </c>
      <c r="C6" s="44" t="n">
        <v>0.25</v>
      </c>
      <c r="D6" s="44" t="n">
        <v>0.2</v>
      </c>
      <c r="E6" s="44" t="n">
        <v>0.1</v>
      </c>
      <c r="F6" s="43">
        <f>SUM(B6:E6)</f>
        <v/>
      </c>
      <c r="G6" s="2" t="inlineStr">
        <is>
          <t>← deve somar 100%</t>
        </is>
      </c>
    </row>
    <row r="7">
      <c r="A7" s="7" t="inlineStr">
        <is>
          <t>Margem por peça no canal</t>
        </is>
      </c>
      <c r="B7" s="45">
        <f>Calculadora!$B$15</f>
        <v/>
      </c>
      <c r="C7" s="45">
        <f>Calculadora!$C$15</f>
        <v/>
      </c>
      <c r="D7" s="45">
        <f>Calculadora!$D$15</f>
        <v/>
      </c>
      <c r="E7" s="45">
        <f>Calculadora!$E$15</f>
        <v/>
      </c>
    </row>
    <row r="8">
      <c r="A8" s="4" t="inlineStr">
        <is>
          <t>Margem média ponderada por peça</t>
        </is>
      </c>
      <c r="B8" s="46">
        <f>SUMPRODUCT(B6:E6,B7:E7)</f>
        <v/>
      </c>
      <c r="C8" s="47">
        <f>Calculadora!$F$15</f>
        <v/>
      </c>
      <c r="D8" s="2" t="inlineStr">
        <is>
          <t>← margem por peça no atacado</t>
        </is>
      </c>
    </row>
    <row r="10">
      <c r="A10" s="3" t="inlineStr">
        <is>
          <t>CENÁRIOS DE ALOCAÇÃO</t>
        </is>
      </c>
      <c r="B10" s="3" t="n"/>
      <c r="C10" s="3" t="n"/>
      <c r="D10" s="3" t="n"/>
      <c r="E10" s="3" t="n"/>
      <c r="F10" s="3" t="n"/>
      <c r="G10" s="3" t="n"/>
      <c r="H10" s="3" t="n"/>
    </row>
    <row r="11" ht="30" customHeight="1">
      <c r="A11" s="48" t="inlineStr">
        <is>
          <t>Alocação</t>
        </is>
      </c>
      <c r="B11" s="49" t="inlineStr">
        <is>
          <t>Peças diretas/mês</t>
        </is>
      </c>
      <c r="C11" s="49" t="inlineStr">
        <is>
          <t>Margem venda direta</t>
        </is>
      </c>
      <c r="D11" s="49" t="inlineStr">
        <is>
          <t>Margem do atacado</t>
        </is>
      </c>
      <c r="E11" s="49" t="inlineStr">
        <is>
          <t>Margem TOTAL</t>
        </is>
      </c>
      <c r="F11" s="49" t="inlineStr">
        <is>
          <t>Ganho vs 100% atacado</t>
        </is>
      </c>
      <c r="G11" s="49" t="inlineStr">
        <is>
          <t>Devoluções/mês</t>
        </is>
      </c>
    </row>
    <row r="12">
      <c r="A12" s="29" t="n">
        <v>0</v>
      </c>
      <c r="B12" s="50">
        <f>Premissas!$B$20*A12</f>
        <v/>
      </c>
      <c r="C12" s="51">
        <f>B12*$B$8</f>
        <v/>
      </c>
      <c r="D12" s="51">
        <f>(Premissas!$B$20-B12)*$C$8</f>
        <v/>
      </c>
      <c r="E12" s="51">
        <f>C12+D12</f>
        <v/>
      </c>
      <c r="F12" s="52">
        <f>E12-$E$12</f>
        <v/>
      </c>
      <c r="G12" s="50">
        <f>B12*Premissas!$B$9</f>
        <v/>
      </c>
    </row>
    <row r="13">
      <c r="A13" s="29" t="n">
        <v>0.02</v>
      </c>
      <c r="B13" s="50">
        <f>Premissas!$B$20*A13</f>
        <v/>
      </c>
      <c r="C13" s="51">
        <f>B13*$B$8</f>
        <v/>
      </c>
      <c r="D13" s="51">
        <f>(Premissas!$B$20-B13)*$C$8</f>
        <v/>
      </c>
      <c r="E13" s="51">
        <f>C13+D13</f>
        <v/>
      </c>
      <c r="F13" s="52">
        <f>E13-$E$12</f>
        <v/>
      </c>
      <c r="G13" s="50">
        <f>B13*Premissas!$B$9</f>
        <v/>
      </c>
    </row>
    <row r="14">
      <c r="A14" s="53" t="n">
        <v>0.05</v>
      </c>
      <c r="B14" s="54">
        <f>Premissas!$B$20*A14</f>
        <v/>
      </c>
      <c r="C14" s="55">
        <f>B14*$B$8</f>
        <v/>
      </c>
      <c r="D14" s="55">
        <f>(Premissas!$B$20-B14)*$C$8</f>
        <v/>
      </c>
      <c r="E14" s="55">
        <f>C14+D14</f>
        <v/>
      </c>
      <c r="F14" s="56">
        <f>E14-$E$12</f>
        <v/>
      </c>
      <c r="G14" s="54">
        <f>B14*Premissas!$B$9</f>
        <v/>
      </c>
    </row>
    <row r="15">
      <c r="A15" s="29" t="n">
        <v>0.1</v>
      </c>
      <c r="B15" s="50">
        <f>Premissas!$B$20*A15</f>
        <v/>
      </c>
      <c r="C15" s="51">
        <f>B15*$B$8</f>
        <v/>
      </c>
      <c r="D15" s="51">
        <f>(Premissas!$B$20-B15)*$C$8</f>
        <v/>
      </c>
      <c r="E15" s="51">
        <f>C15+D15</f>
        <v/>
      </c>
      <c r="F15" s="52">
        <f>E15-$E$12</f>
        <v/>
      </c>
      <c r="G15" s="50">
        <f>B15*Premissas!$B$9</f>
        <v/>
      </c>
    </row>
    <row r="16">
      <c r="A16" s="29" t="n">
        <v>0.15</v>
      </c>
      <c r="B16" s="50">
        <f>Premissas!$B$20*A16</f>
        <v/>
      </c>
      <c r="C16" s="51">
        <f>B16*$B$8</f>
        <v/>
      </c>
      <c r="D16" s="51">
        <f>(Premissas!$B$20-B16)*$C$8</f>
        <v/>
      </c>
      <c r="E16" s="51">
        <f>C16+D16</f>
        <v/>
      </c>
      <c r="F16" s="52">
        <f>E16-$E$12</f>
        <v/>
      </c>
      <c r="G16" s="50">
        <f>B16*Premissas!$B$9</f>
        <v/>
      </c>
    </row>
    <row r="17">
      <c r="A17" s="29" t="n">
        <v>0.2</v>
      </c>
      <c r="B17" s="50">
        <f>Premissas!$B$20*A17</f>
        <v/>
      </c>
      <c r="C17" s="51">
        <f>B17*$B$8</f>
        <v/>
      </c>
      <c r="D17" s="51">
        <f>(Premissas!$B$20-B17)*$C$8</f>
        <v/>
      </c>
      <c r="E17" s="51">
        <f>C17+D17</f>
        <v/>
      </c>
      <c r="F17" s="52">
        <f>E17-$E$12</f>
        <v/>
      </c>
      <c r="G17" s="50">
        <f>B17*Premissas!$B$9</f>
        <v/>
      </c>
    </row>
    <row r="19">
      <c r="A19" s="4" t="inlineStr">
        <is>
          <t>ATENÇÃO — o limite do projeto</t>
        </is>
      </c>
    </row>
    <row r="20" ht="58" customHeight="1">
      <c r="A20" s="5" t="inlineStr">
        <is>
          <t>A coluna "Devoluções/mês" é a restrição real. Cada devolução exige recebimento, conferência, higienização e reintegração ao estoque. Dividido por 21 dias úteis, 2.750 devoluções/mês são cerca de 130 por dia. Amarre a alocação do mês seguinte à capacidade COMPROVADA de processar devoluções do mês corrente — nunca à demanda. Devolução não processada vira reclamação, e reclamação derruba reputação.</t>
        </is>
      </c>
    </row>
  </sheetData>
  <mergeCells count="2">
    <mergeCell ref="D8:F8"/>
    <mergeCell ref="A20:H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4" customWidth="1" min="14" max="14"/>
  </cols>
  <sheetData>
    <row r="1">
      <c r="A1" s="1" t="inlineStr">
        <is>
          <t>AS QUATRO PEÇAS — MARGEM NO MERCADO LIVRE</t>
        </is>
      </c>
    </row>
    <row r="2">
      <c r="A2" s="2" t="inlineStr">
        <is>
          <t>Mesma plataforma, mesmas regras. Só mudam custo e preço. Colunas azuis são editáveis.</t>
        </is>
      </c>
    </row>
    <row r="4" ht="30" customHeight="1">
      <c r="A4" s="23" t="inlineStr">
        <is>
          <t>Peça</t>
        </is>
      </c>
      <c r="B4" s="24" t="inlineStr">
        <is>
          <t>Custo</t>
        </is>
      </c>
      <c r="C4" s="24" t="inlineStr">
        <is>
          <t>Preço direto</t>
        </is>
      </c>
      <c r="D4" s="24" t="inlineStr">
        <is>
          <t>Preço atacado</t>
        </is>
      </c>
      <c r="E4" s="24" t="inlineStr">
        <is>
          <t>CMV</t>
        </is>
      </c>
      <c r="F4" s="24" t="inlineStr">
        <is>
          <t>Comissão</t>
        </is>
      </c>
      <c r="G4" s="24" t="inlineStr">
        <is>
          <t>Frete</t>
        </is>
      </c>
      <c r="H4" s="24" t="inlineStr">
        <is>
          <t>Mídia</t>
        </is>
      </c>
      <c r="I4" s="24" t="inlineStr">
        <is>
          <t>Imposto</t>
        </is>
      </c>
      <c r="J4" s="24" t="inlineStr">
        <is>
          <t>Devolução</t>
        </is>
      </c>
      <c r="K4" s="24" t="inlineStr">
        <is>
          <t>Total custos</t>
        </is>
      </c>
      <c r="L4" s="24" t="inlineStr">
        <is>
          <t>MC direta</t>
        </is>
      </c>
      <c r="M4" s="24" t="inlineStr">
        <is>
          <t>MC %</t>
        </is>
      </c>
      <c r="N4" s="24" t="inlineStr">
        <is>
          <t>MC atacado</t>
        </is>
      </c>
    </row>
    <row r="5">
      <c r="A5" s="7" t="inlineStr">
        <is>
          <t>Blusa canelada</t>
        </is>
      </c>
      <c r="B5" s="28" t="n">
        <v>20.08</v>
      </c>
      <c r="C5" s="28" t="n">
        <v>89</v>
      </c>
      <c r="D5" s="28" t="n">
        <v>35</v>
      </c>
      <c r="E5" s="27">
        <f>B5</f>
        <v/>
      </c>
      <c r="F5" s="27">
        <f>C5*Premissas!$B$30</f>
        <v/>
      </c>
      <c r="G5" s="27">
        <f>IF(C5&gt;=79,Premissas!$B$31,Premissas!$B$32)</f>
        <v/>
      </c>
      <c r="H5" s="27">
        <f>C5*Premissas!$B$33</f>
        <v/>
      </c>
      <c r="I5" s="27">
        <f>C5*Premissas!$B$17</f>
        <v/>
      </c>
      <c r="J5" s="27">
        <f>Premissas!$B$9*(Premissas!$B$10+Premissas!$B$11*B5)</f>
        <v/>
      </c>
      <c r="K5" s="57">
        <f>SUM(E5:J5)</f>
        <v/>
      </c>
      <c r="L5" s="57">
        <f>C5-K5</f>
        <v/>
      </c>
      <c r="M5" s="58">
        <f>IF(C5=0,0,L5/C5)</f>
        <v/>
      </c>
      <c r="N5" s="57">
        <f>D5-B5-D5*Premissas!$B$25-Premissas!$B$26-D5*Premissas!$B$17-Premissas!$B$27*(Premissas!$B$10*0.4+B5)</f>
        <v/>
      </c>
    </row>
    <row r="6">
      <c r="A6" s="7" t="inlineStr">
        <is>
          <t>Saia canelada midi</t>
        </is>
      </c>
      <c r="B6" s="28" t="n">
        <v>21.42</v>
      </c>
      <c r="C6" s="28" t="n">
        <v>99</v>
      </c>
      <c r="D6" s="28" t="n">
        <v>37</v>
      </c>
      <c r="E6" s="27">
        <f>B6</f>
        <v/>
      </c>
      <c r="F6" s="27">
        <f>C6*Premissas!$B$30</f>
        <v/>
      </c>
      <c r="G6" s="27">
        <f>IF(C6&gt;=79,Premissas!$B$31,Premissas!$B$32)</f>
        <v/>
      </c>
      <c r="H6" s="27">
        <f>C6*Premissas!$B$33</f>
        <v/>
      </c>
      <c r="I6" s="27">
        <f>C6*Premissas!$B$17</f>
        <v/>
      </c>
      <c r="J6" s="27">
        <f>Premissas!$B$9*(Premissas!$B$10+Premissas!$B$11*B6)</f>
        <v/>
      </c>
      <c r="K6" s="57">
        <f>SUM(E6:J6)</f>
        <v/>
      </c>
      <c r="L6" s="57">
        <f>C6-K6</f>
        <v/>
      </c>
      <c r="M6" s="58">
        <f>IF(C6=0,0,L6/C6)</f>
        <v/>
      </c>
      <c r="N6" s="57">
        <f>D6-B6-D6*Premissas!$B$25-Premissas!$B$26-D6*Premissas!$B$17-Premissas!$B$27*(Premissas!$B$10*0.4+B6)</f>
        <v/>
      </c>
    </row>
    <row r="7">
      <c r="A7" s="7" t="inlineStr">
        <is>
          <t>Vestido canelado midi</t>
        </is>
      </c>
      <c r="B7" s="28" t="n">
        <v>29.97</v>
      </c>
      <c r="C7" s="28" t="n">
        <v>149</v>
      </c>
      <c r="D7" s="28" t="n">
        <v>52</v>
      </c>
      <c r="E7" s="27">
        <f>B7</f>
        <v/>
      </c>
      <c r="F7" s="27">
        <f>C7*Premissas!$B$30</f>
        <v/>
      </c>
      <c r="G7" s="27">
        <f>IF(C7&gt;=79,Premissas!$B$31,Premissas!$B$32)</f>
        <v/>
      </c>
      <c r="H7" s="27">
        <f>C7*Premissas!$B$33</f>
        <v/>
      </c>
      <c r="I7" s="27">
        <f>C7*Premissas!$B$17</f>
        <v/>
      </c>
      <c r="J7" s="27">
        <f>Premissas!$B$9*(Premissas!$B$10+Premissas!$B$11*B7)</f>
        <v/>
      </c>
      <c r="K7" s="57">
        <f>SUM(E7:J7)</f>
        <v/>
      </c>
      <c r="L7" s="57">
        <f>C7-K7</f>
        <v/>
      </c>
      <c r="M7" s="58">
        <f>IF(C7=0,0,L7/C7)</f>
        <v/>
      </c>
      <c r="N7" s="57">
        <f>D7-B7-D7*Premissas!$B$25-Premissas!$B$26-D7*Premissas!$B$17-Premissas!$B$27*(Premissas!$B$10*0.4+B7)</f>
        <v/>
      </c>
    </row>
    <row r="8">
      <c r="A8" s="59" t="inlineStr">
        <is>
          <t>Conjunto blusa + saia</t>
        </is>
      </c>
      <c r="B8" s="60" t="n">
        <v>41.5</v>
      </c>
      <c r="C8" s="60" t="n">
        <v>189</v>
      </c>
      <c r="D8" s="60" t="n">
        <v>73</v>
      </c>
      <c r="E8" s="61">
        <f>B8</f>
        <v/>
      </c>
      <c r="F8" s="61">
        <f>C8*Premissas!$B$30</f>
        <v/>
      </c>
      <c r="G8" s="61">
        <f>IF(C8&gt;=79,Premissas!$B$31,Premissas!$B$32)</f>
        <v/>
      </c>
      <c r="H8" s="61">
        <f>C8*Premissas!$B$33</f>
        <v/>
      </c>
      <c r="I8" s="61">
        <f>C8*Premissas!$B$17</f>
        <v/>
      </c>
      <c r="J8" s="61">
        <f>Premissas!$B$9*(Premissas!$B$10+Premissas!$B$11*B8)</f>
        <v/>
      </c>
      <c r="K8" s="62">
        <f>SUM(E8:J8)</f>
        <v/>
      </c>
      <c r="L8" s="62">
        <f>C8-K8</f>
        <v/>
      </c>
      <c r="M8" s="63">
        <f>IF(C8=0,0,L8/C8)</f>
        <v/>
      </c>
      <c r="N8" s="62">
        <f>D8-B8-D8*Premissas!$B$25-Premissas!$B$26-D8*Premissas!$B$17-Premissas!$B$27*(Premissas!$B$10*0.4+B8)</f>
        <v/>
      </c>
    </row>
    <row r="10">
      <c r="A10" s="4" t="inlineStr">
        <is>
          <t>Por que a blusa não fecha</t>
        </is>
      </c>
    </row>
    <row r="11" ht="44" customHeight="1">
      <c r="A11" s="5" t="inlineStr">
        <is>
          <t>A provisão de devolução (coluna J) é praticamente igual nas quatro peças, porque o custo reverso é fixo em reais. Sobre uma blusa de R$ 89 ela pesa quase 9% da receita; sobre um conjunto de R$ 189, menos de 4,5%. É toda a explicação da diferença de margem — e a razão para não anunciar peça avulsa abaixo de R$ 120.</t>
        </is>
      </c>
    </row>
  </sheetData>
  <mergeCells count="1">
    <mergeCell ref="A11:N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SENSIBILIDADE — MARGEM NO MERCADO LIVRE</t>
        </is>
      </c>
    </row>
    <row r="2">
      <c r="A2" s="2" t="inlineStr">
        <is>
          <t>Linhas: taxa de devolução. Colunas: preço ao consumidor. Custo de fabricação vem de Premissas!B5.</t>
        </is>
      </c>
    </row>
    <row r="3">
      <c r="A3" s="7" t="inlineStr">
        <is>
          <t>Custo de fabricação:</t>
        </is>
      </c>
      <c r="B3" s="47">
        <f>Premissas!$B$5</f>
        <v/>
      </c>
    </row>
    <row r="5">
      <c r="A5" s="3" t="inlineStr">
        <is>
          <t>Devolução ↓   Preço →</t>
        </is>
      </c>
      <c r="B5" s="64" t="n">
        <v>89</v>
      </c>
      <c r="C5" s="64" t="n">
        <v>109</v>
      </c>
      <c r="D5" s="64" t="n">
        <v>129</v>
      </c>
      <c r="E5" s="64" t="n">
        <v>149</v>
      </c>
      <c r="F5" s="64" t="n">
        <v>169</v>
      </c>
      <c r="G5" s="64" t="n">
        <v>189</v>
      </c>
      <c r="H5" s="64" t="n">
        <v>209</v>
      </c>
      <c r="I5" s="64" t="n">
        <v>229</v>
      </c>
    </row>
    <row r="6">
      <c r="A6" s="29" t="n">
        <v>0.1</v>
      </c>
      <c r="B6" s="65">
        <f>IF(B$5=0,0,(B$5-B$5*Premissas!$B$30-IF(B$5&gt;=79,Premissas!$B$31,Premissas!$B$32)-B$5*Premissas!$B$33-B$5*Premissas!$B$17-$A6*(Premissas!$B$10+Premissas!$B$11*$B$3)-$B$3)/B$5)</f>
        <v/>
      </c>
      <c r="C6" s="65">
        <f>IF(C$5=0,0,(C$5-C$5*Premissas!$B$30-IF(C$5&gt;=79,Premissas!$B$31,Premissas!$B$32)-C$5*Premissas!$B$33-C$5*Premissas!$B$17-$A6*(Premissas!$B$10+Premissas!$B$11*$B$3)-$B$3)/C$5)</f>
        <v/>
      </c>
      <c r="D6" s="65">
        <f>IF(D$5=0,0,(D$5-D$5*Premissas!$B$30-IF(D$5&gt;=79,Premissas!$B$31,Premissas!$B$32)-D$5*Premissas!$B$33-D$5*Premissas!$B$17-$A6*(Premissas!$B$10+Premissas!$B$11*$B$3)-$B$3)/D$5)</f>
        <v/>
      </c>
      <c r="E6" s="65">
        <f>IF(E$5=0,0,(E$5-E$5*Premissas!$B$30-IF(E$5&gt;=79,Premissas!$B$31,Premissas!$B$32)-E$5*Premissas!$B$33-E$5*Premissas!$B$17-$A6*(Premissas!$B$10+Premissas!$B$11*$B$3)-$B$3)/E$5)</f>
        <v/>
      </c>
      <c r="F6" s="65">
        <f>IF(F$5=0,0,(F$5-F$5*Premissas!$B$30-IF(F$5&gt;=79,Premissas!$B$31,Premissas!$B$32)-F$5*Premissas!$B$33-F$5*Premissas!$B$17-$A6*(Premissas!$B$10+Premissas!$B$11*$B$3)-$B$3)/F$5)</f>
        <v/>
      </c>
      <c r="G6" s="65">
        <f>IF(G$5=0,0,(G$5-G$5*Premissas!$B$30-IF(G$5&gt;=79,Premissas!$B$31,Premissas!$B$32)-G$5*Premissas!$B$33-G$5*Premissas!$B$17-$A6*(Premissas!$B$10+Premissas!$B$11*$B$3)-$B$3)/G$5)</f>
        <v/>
      </c>
      <c r="H6" s="65">
        <f>IF(H$5=0,0,(H$5-H$5*Premissas!$B$30-IF(H$5&gt;=79,Premissas!$B$31,Premissas!$B$32)-H$5*Premissas!$B$33-H$5*Premissas!$B$17-$A6*(Premissas!$B$10+Premissas!$B$11*$B$3)-$B$3)/H$5)</f>
        <v/>
      </c>
      <c r="I6" s="65">
        <f>IF(I$5=0,0,(I$5-I$5*Premissas!$B$30-IF(I$5&gt;=79,Premissas!$B$31,Premissas!$B$32)-I$5*Premissas!$B$33-I$5*Premissas!$B$17-$A6*(Premissas!$B$10+Premissas!$B$11*$B$3)-$B$3)/I$5)</f>
        <v/>
      </c>
    </row>
    <row r="7">
      <c r="A7" s="29" t="n">
        <v>0.15</v>
      </c>
      <c r="B7" s="65">
        <f>IF(B$5=0,0,(B$5-B$5*Premissas!$B$30-IF(B$5&gt;=79,Premissas!$B$31,Premissas!$B$32)-B$5*Premissas!$B$33-B$5*Premissas!$B$17-$A7*(Premissas!$B$10+Premissas!$B$11*$B$3)-$B$3)/B$5)</f>
        <v/>
      </c>
      <c r="C7" s="65">
        <f>IF(C$5=0,0,(C$5-C$5*Premissas!$B$30-IF(C$5&gt;=79,Premissas!$B$31,Premissas!$B$32)-C$5*Premissas!$B$33-C$5*Premissas!$B$17-$A7*(Premissas!$B$10+Premissas!$B$11*$B$3)-$B$3)/C$5)</f>
        <v/>
      </c>
      <c r="D7" s="65">
        <f>IF(D$5=0,0,(D$5-D$5*Premissas!$B$30-IF(D$5&gt;=79,Premissas!$B$31,Premissas!$B$32)-D$5*Premissas!$B$33-D$5*Premissas!$B$17-$A7*(Premissas!$B$10+Premissas!$B$11*$B$3)-$B$3)/D$5)</f>
        <v/>
      </c>
      <c r="E7" s="65">
        <f>IF(E$5=0,0,(E$5-E$5*Premissas!$B$30-IF(E$5&gt;=79,Premissas!$B$31,Premissas!$B$32)-E$5*Premissas!$B$33-E$5*Premissas!$B$17-$A7*(Premissas!$B$10+Premissas!$B$11*$B$3)-$B$3)/E$5)</f>
        <v/>
      </c>
      <c r="F7" s="65">
        <f>IF(F$5=0,0,(F$5-F$5*Premissas!$B$30-IF(F$5&gt;=79,Premissas!$B$31,Premissas!$B$32)-F$5*Premissas!$B$33-F$5*Premissas!$B$17-$A7*(Premissas!$B$10+Premissas!$B$11*$B$3)-$B$3)/F$5)</f>
        <v/>
      </c>
      <c r="G7" s="65">
        <f>IF(G$5=0,0,(G$5-G$5*Premissas!$B$30-IF(G$5&gt;=79,Premissas!$B$31,Premissas!$B$32)-G$5*Premissas!$B$33-G$5*Premissas!$B$17-$A7*(Premissas!$B$10+Premissas!$B$11*$B$3)-$B$3)/G$5)</f>
        <v/>
      </c>
      <c r="H7" s="65">
        <f>IF(H$5=0,0,(H$5-H$5*Premissas!$B$30-IF(H$5&gt;=79,Premissas!$B$31,Premissas!$B$32)-H$5*Premissas!$B$33-H$5*Premissas!$B$17-$A7*(Premissas!$B$10+Premissas!$B$11*$B$3)-$B$3)/H$5)</f>
        <v/>
      </c>
      <c r="I7" s="65">
        <f>IF(I$5=0,0,(I$5-I$5*Premissas!$B$30-IF(I$5&gt;=79,Premissas!$B$31,Premissas!$B$32)-I$5*Premissas!$B$33-I$5*Premissas!$B$17-$A7*(Premissas!$B$10+Premissas!$B$11*$B$3)-$B$3)/I$5)</f>
        <v/>
      </c>
    </row>
    <row r="8">
      <c r="A8" s="29" t="n">
        <v>0.2</v>
      </c>
      <c r="B8" s="65">
        <f>IF(B$5=0,0,(B$5-B$5*Premissas!$B$30-IF(B$5&gt;=79,Premissas!$B$31,Premissas!$B$32)-B$5*Premissas!$B$33-B$5*Premissas!$B$17-$A8*(Premissas!$B$10+Premissas!$B$11*$B$3)-$B$3)/B$5)</f>
        <v/>
      </c>
      <c r="C8" s="65">
        <f>IF(C$5=0,0,(C$5-C$5*Premissas!$B$30-IF(C$5&gt;=79,Premissas!$B$31,Premissas!$B$32)-C$5*Premissas!$B$33-C$5*Premissas!$B$17-$A8*(Premissas!$B$10+Premissas!$B$11*$B$3)-$B$3)/C$5)</f>
        <v/>
      </c>
      <c r="D8" s="65">
        <f>IF(D$5=0,0,(D$5-D$5*Premissas!$B$30-IF(D$5&gt;=79,Premissas!$B$31,Premissas!$B$32)-D$5*Premissas!$B$33-D$5*Premissas!$B$17-$A8*(Premissas!$B$10+Premissas!$B$11*$B$3)-$B$3)/D$5)</f>
        <v/>
      </c>
      <c r="E8" s="65">
        <f>IF(E$5=0,0,(E$5-E$5*Premissas!$B$30-IF(E$5&gt;=79,Premissas!$B$31,Premissas!$B$32)-E$5*Premissas!$B$33-E$5*Premissas!$B$17-$A8*(Premissas!$B$10+Premissas!$B$11*$B$3)-$B$3)/E$5)</f>
        <v/>
      </c>
      <c r="F8" s="65">
        <f>IF(F$5=0,0,(F$5-F$5*Premissas!$B$30-IF(F$5&gt;=79,Premissas!$B$31,Premissas!$B$32)-F$5*Premissas!$B$33-F$5*Premissas!$B$17-$A8*(Premissas!$B$10+Premissas!$B$11*$B$3)-$B$3)/F$5)</f>
        <v/>
      </c>
      <c r="G8" s="65">
        <f>IF(G$5=0,0,(G$5-G$5*Premissas!$B$30-IF(G$5&gt;=79,Premissas!$B$31,Premissas!$B$32)-G$5*Premissas!$B$33-G$5*Premissas!$B$17-$A8*(Premissas!$B$10+Premissas!$B$11*$B$3)-$B$3)/G$5)</f>
        <v/>
      </c>
      <c r="H8" s="65">
        <f>IF(H$5=0,0,(H$5-H$5*Premissas!$B$30-IF(H$5&gt;=79,Premissas!$B$31,Premissas!$B$32)-H$5*Premissas!$B$33-H$5*Premissas!$B$17-$A8*(Premissas!$B$10+Premissas!$B$11*$B$3)-$B$3)/H$5)</f>
        <v/>
      </c>
      <c r="I8" s="65">
        <f>IF(I$5=0,0,(I$5-I$5*Premissas!$B$30-IF(I$5&gt;=79,Premissas!$B$31,Premissas!$B$32)-I$5*Premissas!$B$33-I$5*Premissas!$B$17-$A8*(Premissas!$B$10+Premissas!$B$11*$B$3)-$B$3)/I$5)</f>
        <v/>
      </c>
    </row>
    <row r="9">
      <c r="A9" s="53" t="n">
        <v>0.22</v>
      </c>
      <c r="B9" s="65">
        <f>IF(B$5=0,0,(B$5-B$5*Premissas!$B$30-IF(B$5&gt;=79,Premissas!$B$31,Premissas!$B$32)-B$5*Premissas!$B$33-B$5*Premissas!$B$17-$A9*(Premissas!$B$10+Premissas!$B$11*$B$3)-$B$3)/B$5)</f>
        <v/>
      </c>
      <c r="C9" s="65">
        <f>IF(C$5=0,0,(C$5-C$5*Premissas!$B$30-IF(C$5&gt;=79,Premissas!$B$31,Premissas!$B$32)-C$5*Premissas!$B$33-C$5*Premissas!$B$17-$A9*(Premissas!$B$10+Premissas!$B$11*$B$3)-$B$3)/C$5)</f>
        <v/>
      </c>
      <c r="D9" s="65">
        <f>IF(D$5=0,0,(D$5-D$5*Premissas!$B$30-IF(D$5&gt;=79,Premissas!$B$31,Premissas!$B$32)-D$5*Premissas!$B$33-D$5*Premissas!$B$17-$A9*(Premissas!$B$10+Premissas!$B$11*$B$3)-$B$3)/D$5)</f>
        <v/>
      </c>
      <c r="E9" s="65">
        <f>IF(E$5=0,0,(E$5-E$5*Premissas!$B$30-IF(E$5&gt;=79,Premissas!$B$31,Premissas!$B$32)-E$5*Premissas!$B$33-E$5*Premissas!$B$17-$A9*(Premissas!$B$10+Premissas!$B$11*$B$3)-$B$3)/E$5)</f>
        <v/>
      </c>
      <c r="F9" s="65">
        <f>IF(F$5=0,0,(F$5-F$5*Premissas!$B$30-IF(F$5&gt;=79,Premissas!$B$31,Premissas!$B$32)-F$5*Premissas!$B$33-F$5*Premissas!$B$17-$A9*(Premissas!$B$10+Premissas!$B$11*$B$3)-$B$3)/F$5)</f>
        <v/>
      </c>
      <c r="G9" s="65">
        <f>IF(G$5=0,0,(G$5-G$5*Premissas!$B$30-IF(G$5&gt;=79,Premissas!$B$31,Premissas!$B$32)-G$5*Premissas!$B$33-G$5*Premissas!$B$17-$A9*(Premissas!$B$10+Premissas!$B$11*$B$3)-$B$3)/G$5)</f>
        <v/>
      </c>
      <c r="H9" s="65">
        <f>IF(H$5=0,0,(H$5-H$5*Premissas!$B$30-IF(H$5&gt;=79,Premissas!$B$31,Premissas!$B$32)-H$5*Premissas!$B$33-H$5*Premissas!$B$17-$A9*(Premissas!$B$10+Premissas!$B$11*$B$3)-$B$3)/H$5)</f>
        <v/>
      </c>
      <c r="I9" s="65">
        <f>IF(I$5=0,0,(I$5-I$5*Premissas!$B$30-IF(I$5&gt;=79,Premissas!$B$31,Premissas!$B$32)-I$5*Premissas!$B$33-I$5*Premissas!$B$17-$A9*(Premissas!$B$10+Premissas!$B$11*$B$3)-$B$3)/I$5)</f>
        <v/>
      </c>
    </row>
    <row r="10">
      <c r="A10" s="29" t="n">
        <v>0.25</v>
      </c>
      <c r="B10" s="65">
        <f>IF(B$5=0,0,(B$5-B$5*Premissas!$B$30-IF(B$5&gt;=79,Premissas!$B$31,Premissas!$B$32)-B$5*Premissas!$B$33-B$5*Premissas!$B$17-$A10*(Premissas!$B$10+Premissas!$B$11*$B$3)-$B$3)/B$5)</f>
        <v/>
      </c>
      <c r="C10" s="65">
        <f>IF(C$5=0,0,(C$5-C$5*Premissas!$B$30-IF(C$5&gt;=79,Premissas!$B$31,Premissas!$B$32)-C$5*Premissas!$B$33-C$5*Premissas!$B$17-$A10*(Premissas!$B$10+Premissas!$B$11*$B$3)-$B$3)/C$5)</f>
        <v/>
      </c>
      <c r="D10" s="65">
        <f>IF(D$5=0,0,(D$5-D$5*Premissas!$B$30-IF(D$5&gt;=79,Premissas!$B$31,Premissas!$B$32)-D$5*Premissas!$B$33-D$5*Premissas!$B$17-$A10*(Premissas!$B$10+Premissas!$B$11*$B$3)-$B$3)/D$5)</f>
        <v/>
      </c>
      <c r="E10" s="65">
        <f>IF(E$5=0,0,(E$5-E$5*Premissas!$B$30-IF(E$5&gt;=79,Premissas!$B$31,Premissas!$B$32)-E$5*Premissas!$B$33-E$5*Premissas!$B$17-$A10*(Premissas!$B$10+Premissas!$B$11*$B$3)-$B$3)/E$5)</f>
        <v/>
      </c>
      <c r="F10" s="65">
        <f>IF(F$5=0,0,(F$5-F$5*Premissas!$B$30-IF(F$5&gt;=79,Premissas!$B$31,Premissas!$B$32)-F$5*Premissas!$B$33-F$5*Premissas!$B$17-$A10*(Premissas!$B$10+Premissas!$B$11*$B$3)-$B$3)/F$5)</f>
        <v/>
      </c>
      <c r="G10" s="65">
        <f>IF(G$5=0,0,(G$5-G$5*Premissas!$B$30-IF(G$5&gt;=79,Premissas!$B$31,Premissas!$B$32)-G$5*Premissas!$B$33-G$5*Premissas!$B$17-$A10*(Premissas!$B$10+Premissas!$B$11*$B$3)-$B$3)/G$5)</f>
        <v/>
      </c>
      <c r="H10" s="65">
        <f>IF(H$5=0,0,(H$5-H$5*Premissas!$B$30-IF(H$5&gt;=79,Premissas!$B$31,Premissas!$B$32)-H$5*Premissas!$B$33-H$5*Premissas!$B$17-$A10*(Premissas!$B$10+Premissas!$B$11*$B$3)-$B$3)/H$5)</f>
        <v/>
      </c>
      <c r="I10" s="65">
        <f>IF(I$5=0,0,(I$5-I$5*Premissas!$B$30-IF(I$5&gt;=79,Premissas!$B$31,Premissas!$B$32)-I$5*Premissas!$B$33-I$5*Premissas!$B$17-$A10*(Premissas!$B$10+Premissas!$B$11*$B$3)-$B$3)/I$5)</f>
        <v/>
      </c>
    </row>
    <row r="11">
      <c r="A11" s="29" t="n">
        <v>0.3</v>
      </c>
      <c r="B11" s="65">
        <f>IF(B$5=0,0,(B$5-B$5*Premissas!$B$30-IF(B$5&gt;=79,Premissas!$B$31,Premissas!$B$32)-B$5*Premissas!$B$33-B$5*Premissas!$B$17-$A11*(Premissas!$B$10+Premissas!$B$11*$B$3)-$B$3)/B$5)</f>
        <v/>
      </c>
      <c r="C11" s="65">
        <f>IF(C$5=0,0,(C$5-C$5*Premissas!$B$30-IF(C$5&gt;=79,Premissas!$B$31,Premissas!$B$32)-C$5*Premissas!$B$33-C$5*Premissas!$B$17-$A11*(Premissas!$B$10+Premissas!$B$11*$B$3)-$B$3)/C$5)</f>
        <v/>
      </c>
      <c r="D11" s="65">
        <f>IF(D$5=0,0,(D$5-D$5*Premissas!$B$30-IF(D$5&gt;=79,Premissas!$B$31,Premissas!$B$32)-D$5*Premissas!$B$33-D$5*Premissas!$B$17-$A11*(Premissas!$B$10+Premissas!$B$11*$B$3)-$B$3)/D$5)</f>
        <v/>
      </c>
      <c r="E11" s="65">
        <f>IF(E$5=0,0,(E$5-E$5*Premissas!$B$30-IF(E$5&gt;=79,Premissas!$B$31,Premissas!$B$32)-E$5*Premissas!$B$33-E$5*Premissas!$B$17-$A11*(Premissas!$B$10+Premissas!$B$11*$B$3)-$B$3)/E$5)</f>
        <v/>
      </c>
      <c r="F11" s="65">
        <f>IF(F$5=0,0,(F$5-F$5*Premissas!$B$30-IF(F$5&gt;=79,Premissas!$B$31,Premissas!$B$32)-F$5*Premissas!$B$33-F$5*Premissas!$B$17-$A11*(Premissas!$B$10+Premissas!$B$11*$B$3)-$B$3)/F$5)</f>
        <v/>
      </c>
      <c r="G11" s="65">
        <f>IF(G$5=0,0,(G$5-G$5*Premissas!$B$30-IF(G$5&gt;=79,Premissas!$B$31,Premissas!$B$32)-G$5*Premissas!$B$33-G$5*Premissas!$B$17-$A11*(Premissas!$B$10+Premissas!$B$11*$B$3)-$B$3)/G$5)</f>
        <v/>
      </c>
      <c r="H11" s="65">
        <f>IF(H$5=0,0,(H$5-H$5*Premissas!$B$30-IF(H$5&gt;=79,Premissas!$B$31,Premissas!$B$32)-H$5*Premissas!$B$33-H$5*Premissas!$B$17-$A11*(Premissas!$B$10+Premissas!$B$11*$B$3)-$B$3)/H$5)</f>
        <v/>
      </c>
      <c r="I11" s="65">
        <f>IF(I$5=0,0,(I$5-I$5*Premissas!$B$30-IF(I$5&gt;=79,Premissas!$B$31,Premissas!$B$32)-I$5*Premissas!$B$33-I$5*Premissas!$B$17-$A11*(Premissas!$B$10+Premissas!$B$11*$B$3)-$B$3)/I$5)</f>
        <v/>
      </c>
    </row>
    <row r="12">
      <c r="A12" s="29" t="n">
        <v>0.35</v>
      </c>
      <c r="B12" s="65">
        <f>IF(B$5=0,0,(B$5-B$5*Premissas!$B$30-IF(B$5&gt;=79,Premissas!$B$31,Premissas!$B$32)-B$5*Premissas!$B$33-B$5*Premissas!$B$17-$A12*(Premissas!$B$10+Premissas!$B$11*$B$3)-$B$3)/B$5)</f>
        <v/>
      </c>
      <c r="C12" s="65">
        <f>IF(C$5=0,0,(C$5-C$5*Premissas!$B$30-IF(C$5&gt;=79,Premissas!$B$31,Premissas!$B$32)-C$5*Premissas!$B$33-C$5*Premissas!$B$17-$A12*(Premissas!$B$10+Premissas!$B$11*$B$3)-$B$3)/C$5)</f>
        <v/>
      </c>
      <c r="D12" s="65">
        <f>IF(D$5=0,0,(D$5-D$5*Premissas!$B$30-IF(D$5&gt;=79,Premissas!$B$31,Premissas!$B$32)-D$5*Premissas!$B$33-D$5*Premissas!$B$17-$A12*(Premissas!$B$10+Premissas!$B$11*$B$3)-$B$3)/D$5)</f>
        <v/>
      </c>
      <c r="E12" s="65">
        <f>IF(E$5=0,0,(E$5-E$5*Premissas!$B$30-IF(E$5&gt;=79,Premissas!$B$31,Premissas!$B$32)-E$5*Premissas!$B$33-E$5*Premissas!$B$17-$A12*(Premissas!$B$10+Premissas!$B$11*$B$3)-$B$3)/E$5)</f>
        <v/>
      </c>
      <c r="F12" s="65">
        <f>IF(F$5=0,0,(F$5-F$5*Premissas!$B$30-IF(F$5&gt;=79,Premissas!$B$31,Premissas!$B$32)-F$5*Premissas!$B$33-F$5*Premissas!$B$17-$A12*(Premissas!$B$10+Premissas!$B$11*$B$3)-$B$3)/F$5)</f>
        <v/>
      </c>
      <c r="G12" s="65">
        <f>IF(G$5=0,0,(G$5-G$5*Premissas!$B$30-IF(G$5&gt;=79,Premissas!$B$31,Premissas!$B$32)-G$5*Premissas!$B$33-G$5*Premissas!$B$17-$A12*(Premissas!$B$10+Premissas!$B$11*$B$3)-$B$3)/G$5)</f>
        <v/>
      </c>
      <c r="H12" s="65">
        <f>IF(H$5=0,0,(H$5-H$5*Premissas!$B$30-IF(H$5&gt;=79,Premissas!$B$31,Premissas!$B$32)-H$5*Premissas!$B$33-H$5*Premissas!$B$17-$A12*(Premissas!$B$10+Premissas!$B$11*$B$3)-$B$3)/H$5)</f>
        <v/>
      </c>
      <c r="I12" s="65">
        <f>IF(I$5=0,0,(I$5-I$5*Premissas!$B$30-IF(I$5&gt;=79,Premissas!$B$31,Premissas!$B$32)-I$5*Premissas!$B$33-I$5*Premissas!$B$17-$A12*(Premissas!$B$10+Premissas!$B$11*$B$3)-$B$3)/I$5)</f>
        <v/>
      </c>
    </row>
    <row r="13">
      <c r="A13" s="29" t="n">
        <v>0.4</v>
      </c>
      <c r="B13" s="65">
        <f>IF(B$5=0,0,(B$5-B$5*Premissas!$B$30-IF(B$5&gt;=79,Premissas!$B$31,Premissas!$B$32)-B$5*Premissas!$B$33-B$5*Premissas!$B$17-$A13*(Premissas!$B$10+Premissas!$B$11*$B$3)-$B$3)/B$5)</f>
        <v/>
      </c>
      <c r="C13" s="65">
        <f>IF(C$5=0,0,(C$5-C$5*Premissas!$B$30-IF(C$5&gt;=79,Premissas!$B$31,Premissas!$B$32)-C$5*Premissas!$B$33-C$5*Premissas!$B$17-$A13*(Premissas!$B$10+Premissas!$B$11*$B$3)-$B$3)/C$5)</f>
        <v/>
      </c>
      <c r="D13" s="65">
        <f>IF(D$5=0,0,(D$5-D$5*Premissas!$B$30-IF(D$5&gt;=79,Premissas!$B$31,Premissas!$B$32)-D$5*Premissas!$B$33-D$5*Premissas!$B$17-$A13*(Premissas!$B$10+Premissas!$B$11*$B$3)-$B$3)/D$5)</f>
        <v/>
      </c>
      <c r="E13" s="65">
        <f>IF(E$5=0,0,(E$5-E$5*Premissas!$B$30-IF(E$5&gt;=79,Premissas!$B$31,Premissas!$B$32)-E$5*Premissas!$B$33-E$5*Premissas!$B$17-$A13*(Premissas!$B$10+Premissas!$B$11*$B$3)-$B$3)/E$5)</f>
        <v/>
      </c>
      <c r="F13" s="65">
        <f>IF(F$5=0,0,(F$5-F$5*Premissas!$B$30-IF(F$5&gt;=79,Premissas!$B$31,Premissas!$B$32)-F$5*Premissas!$B$33-F$5*Premissas!$B$17-$A13*(Premissas!$B$10+Premissas!$B$11*$B$3)-$B$3)/F$5)</f>
        <v/>
      </c>
      <c r="G13" s="65">
        <f>IF(G$5=0,0,(G$5-G$5*Premissas!$B$30-IF(G$5&gt;=79,Premissas!$B$31,Premissas!$B$32)-G$5*Premissas!$B$33-G$5*Premissas!$B$17-$A13*(Premissas!$B$10+Premissas!$B$11*$B$3)-$B$3)/G$5)</f>
        <v/>
      </c>
      <c r="H13" s="65">
        <f>IF(H$5=0,0,(H$5-H$5*Premissas!$B$30-IF(H$5&gt;=79,Premissas!$B$31,Premissas!$B$32)-H$5*Premissas!$B$33-H$5*Premissas!$B$17-$A13*(Premissas!$B$10+Premissas!$B$11*$B$3)-$B$3)/H$5)</f>
        <v/>
      </c>
      <c r="I13" s="65">
        <f>IF(I$5=0,0,(I$5-I$5*Premissas!$B$30-IF(I$5&gt;=79,Premissas!$B$31,Premissas!$B$32)-I$5*Premissas!$B$33-I$5*Premissas!$B$17-$A13*(Premissas!$B$10+Premissas!$B$11*$B$3)-$B$3)/I$5)</f>
        <v/>
      </c>
    </row>
    <row r="14">
      <c r="A14" s="29" t="n">
        <v>0.45</v>
      </c>
      <c r="B14" s="65">
        <f>IF(B$5=0,0,(B$5-B$5*Premissas!$B$30-IF(B$5&gt;=79,Premissas!$B$31,Premissas!$B$32)-B$5*Premissas!$B$33-B$5*Premissas!$B$17-$A14*(Premissas!$B$10+Premissas!$B$11*$B$3)-$B$3)/B$5)</f>
        <v/>
      </c>
      <c r="C14" s="65">
        <f>IF(C$5=0,0,(C$5-C$5*Premissas!$B$30-IF(C$5&gt;=79,Premissas!$B$31,Premissas!$B$32)-C$5*Premissas!$B$33-C$5*Premissas!$B$17-$A14*(Premissas!$B$10+Premissas!$B$11*$B$3)-$B$3)/C$5)</f>
        <v/>
      </c>
      <c r="D14" s="65">
        <f>IF(D$5=0,0,(D$5-D$5*Premissas!$B$30-IF(D$5&gt;=79,Premissas!$B$31,Premissas!$B$32)-D$5*Premissas!$B$33-D$5*Premissas!$B$17-$A14*(Premissas!$B$10+Premissas!$B$11*$B$3)-$B$3)/D$5)</f>
        <v/>
      </c>
      <c r="E14" s="65">
        <f>IF(E$5=0,0,(E$5-E$5*Premissas!$B$30-IF(E$5&gt;=79,Premissas!$B$31,Premissas!$B$32)-E$5*Premissas!$B$33-E$5*Premissas!$B$17-$A14*(Premissas!$B$10+Premissas!$B$11*$B$3)-$B$3)/E$5)</f>
        <v/>
      </c>
      <c r="F14" s="65">
        <f>IF(F$5=0,0,(F$5-F$5*Premissas!$B$30-IF(F$5&gt;=79,Premissas!$B$31,Premissas!$B$32)-F$5*Premissas!$B$33-F$5*Premissas!$B$17-$A14*(Premissas!$B$10+Premissas!$B$11*$B$3)-$B$3)/F$5)</f>
        <v/>
      </c>
      <c r="G14" s="65">
        <f>IF(G$5=0,0,(G$5-G$5*Premissas!$B$30-IF(G$5&gt;=79,Premissas!$B$31,Premissas!$B$32)-G$5*Premissas!$B$33-G$5*Premissas!$B$17-$A14*(Premissas!$B$10+Premissas!$B$11*$B$3)-$B$3)/G$5)</f>
        <v/>
      </c>
      <c r="H14" s="65">
        <f>IF(H$5=0,0,(H$5-H$5*Premissas!$B$30-IF(H$5&gt;=79,Premissas!$B$31,Premissas!$B$32)-H$5*Premissas!$B$33-H$5*Premissas!$B$17-$A14*(Premissas!$B$10+Premissas!$B$11*$B$3)-$B$3)/H$5)</f>
        <v/>
      </c>
      <c r="I14" s="65">
        <f>IF(I$5=0,0,(I$5-I$5*Premissas!$B$30-IF(I$5&gt;=79,Premissas!$B$31,Premissas!$B$32)-I$5*Premissas!$B$33-I$5*Premissas!$B$17-$A14*(Premissas!$B$10+Premissas!$B$11*$B$3)-$B$3)/I$5)</f>
        <v/>
      </c>
    </row>
    <row r="15">
      <c r="A15" s="29" t="n">
        <v>0.5</v>
      </c>
      <c r="B15" s="65">
        <f>IF(B$5=0,0,(B$5-B$5*Premissas!$B$30-IF(B$5&gt;=79,Premissas!$B$31,Premissas!$B$32)-B$5*Premissas!$B$33-B$5*Premissas!$B$17-$A15*(Premissas!$B$10+Premissas!$B$11*$B$3)-$B$3)/B$5)</f>
        <v/>
      </c>
      <c r="C15" s="65">
        <f>IF(C$5=0,0,(C$5-C$5*Premissas!$B$30-IF(C$5&gt;=79,Premissas!$B$31,Premissas!$B$32)-C$5*Premissas!$B$33-C$5*Premissas!$B$17-$A15*(Premissas!$B$10+Premissas!$B$11*$B$3)-$B$3)/C$5)</f>
        <v/>
      </c>
      <c r="D15" s="65">
        <f>IF(D$5=0,0,(D$5-D$5*Premissas!$B$30-IF(D$5&gt;=79,Premissas!$B$31,Premissas!$B$32)-D$5*Premissas!$B$33-D$5*Premissas!$B$17-$A15*(Premissas!$B$10+Premissas!$B$11*$B$3)-$B$3)/D$5)</f>
        <v/>
      </c>
      <c r="E15" s="65">
        <f>IF(E$5=0,0,(E$5-E$5*Premissas!$B$30-IF(E$5&gt;=79,Premissas!$B$31,Premissas!$B$32)-E$5*Premissas!$B$33-E$5*Premissas!$B$17-$A15*(Premissas!$B$10+Premissas!$B$11*$B$3)-$B$3)/E$5)</f>
        <v/>
      </c>
      <c r="F15" s="65">
        <f>IF(F$5=0,0,(F$5-F$5*Premissas!$B$30-IF(F$5&gt;=79,Premissas!$B$31,Premissas!$B$32)-F$5*Premissas!$B$33-F$5*Premissas!$B$17-$A15*(Premissas!$B$10+Premissas!$B$11*$B$3)-$B$3)/F$5)</f>
        <v/>
      </c>
      <c r="G15" s="65">
        <f>IF(G$5=0,0,(G$5-G$5*Premissas!$B$30-IF(G$5&gt;=79,Premissas!$B$31,Premissas!$B$32)-G$5*Premissas!$B$33-G$5*Premissas!$B$17-$A15*(Premissas!$B$10+Premissas!$B$11*$B$3)-$B$3)/G$5)</f>
        <v/>
      </c>
      <c r="H15" s="65">
        <f>IF(H$5=0,0,(H$5-H$5*Premissas!$B$30-IF(H$5&gt;=79,Premissas!$B$31,Premissas!$B$32)-H$5*Premissas!$B$33-H$5*Premissas!$B$17-$A15*(Premissas!$B$10+Premissas!$B$11*$B$3)-$B$3)/H$5)</f>
        <v/>
      </c>
      <c r="I15" s="65">
        <f>IF(I$5=0,0,(I$5-I$5*Premissas!$B$30-IF(I$5&gt;=79,Premissas!$B$31,Premissas!$B$32)-I$5*Premissas!$B$33-I$5*Premissas!$B$17-$A15*(Premissas!$B$10+Premissas!$B$11*$B$3)-$B$3)/I$5)</f>
        <v/>
      </c>
    </row>
    <row r="17" ht="46" customHeight="1">
      <c r="A17" s="66" t="inlineStr">
        <is>
          <t>Verde = 25% ou mais. Amarelo = entre 0% e 20%. Vermelho = prejuízo. ATENÇÃO: o custo de fabricação é mantido CONSTANTE em toda a grade, no valor de Premissas!B5 — a grade varia apenas preço e devolução. Para analisar outra peça, troque o custo em Premissas!B5 e a grade inteira se recalcula. A leitura principal é a inclinação: quanto mais baixo o preço, mais cada ponto de devolução dói, porque o custo reverso é fixo em reais.</t>
        </is>
      </c>
    </row>
  </sheetData>
  <mergeCells count="1">
    <mergeCell ref="A17:I17"/>
  </mergeCells>
  <conditionalFormatting sqref="B6:I15">
    <cfRule type="cellIs" priority="1" operator="lessThan" dxfId="0">
      <formula>0</formula>
    </cfRule>
    <cfRule type="cellIs" priority="2" operator="between" dxfId="1">
      <formula>0</formula>
      <formula>0.20</formula>
    </cfRule>
    <cfRule type="cellIs" priority="3" operator="greaterThanOrEqual" dxfId="2">
      <formula>0.25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RAMPA DE 12 MESES</t>
        </is>
      </c>
    </row>
    <row r="2">
      <c r="A2" s="2" t="inlineStr">
        <is>
          <t>Os percentuais de alocação em azul são premissas de rampa — troque-os pela capacidade real da célula de logística reversa.</t>
        </is>
      </c>
    </row>
    <row r="3">
      <c r="A3" s="7" t="inlineStr">
        <is>
          <t>Fator de cenário:</t>
        </is>
      </c>
      <c r="B3" s="67" t="n">
        <v>1</v>
      </c>
      <c r="C3" s="2" t="inlineStr">
        <is>
          <t>Use 0,60 para o conservador, 1,00 para o base e 1,50 para o agressivo.</t>
        </is>
      </c>
    </row>
    <row r="5" ht="30" customHeight="1">
      <c r="A5" s="23" t="inlineStr">
        <is>
          <t>Mês</t>
        </is>
      </c>
      <c r="B5" s="24" t="inlineStr">
        <is>
          <t>Alocação</t>
        </is>
      </c>
      <c r="C5" s="24" t="inlineStr">
        <is>
          <t>Peças diretas</t>
        </is>
      </c>
      <c r="D5" s="24" t="inlineStr">
        <is>
          <t>Devoluções</t>
        </is>
      </c>
      <c r="E5" s="24" t="inlineStr">
        <is>
          <t>Receita</t>
        </is>
      </c>
      <c r="F5" s="24" t="inlineStr">
        <is>
          <t>Margem de contribuição</t>
        </is>
      </c>
      <c r="G5" s="24" t="inlineStr">
        <is>
          <t>Custo fixo</t>
        </is>
      </c>
      <c r="H5" s="24" t="inlineStr">
        <is>
          <t>Resultado</t>
        </is>
      </c>
      <c r="I5" s="24" t="inlineStr">
        <is>
          <t>Acumulado</t>
        </is>
      </c>
    </row>
    <row r="6">
      <c r="A6" s="68" t="n">
        <v>1</v>
      </c>
      <c r="B6" s="29" t="n">
        <v>0.005</v>
      </c>
      <c r="C6" s="50">
        <f>Premissas!$B$20*B6*$B$3</f>
        <v/>
      </c>
      <c r="D6" s="50">
        <f>C6*Premissas!$B$9</f>
        <v/>
      </c>
      <c r="E6" s="51">
        <f>C6*Premissas!$B$6</f>
        <v/>
      </c>
      <c r="F6" s="51">
        <f>C6*Capacidade!$B$8</f>
        <v/>
      </c>
      <c r="G6" s="51">
        <f>Premissas!$B$52</f>
        <v/>
      </c>
      <c r="H6" s="52">
        <f>F6-G6</f>
        <v/>
      </c>
      <c r="I6" s="52">
        <f>H6</f>
        <v/>
      </c>
    </row>
    <row r="7">
      <c r="A7" s="68" t="n">
        <v>2</v>
      </c>
      <c r="B7" s="29" t="n">
        <v>0.01</v>
      </c>
      <c r="C7" s="50">
        <f>Premissas!$B$20*B7*$B$3</f>
        <v/>
      </c>
      <c r="D7" s="50">
        <f>C7*Premissas!$B$9</f>
        <v/>
      </c>
      <c r="E7" s="51">
        <f>C7*Premissas!$B$6</f>
        <v/>
      </c>
      <c r="F7" s="51">
        <f>C7*Capacidade!$B$8</f>
        <v/>
      </c>
      <c r="G7" s="51">
        <f>Premissas!$B$52</f>
        <v/>
      </c>
      <c r="H7" s="52">
        <f>F7-G7</f>
        <v/>
      </c>
      <c r="I7" s="52">
        <f>I6+H7</f>
        <v/>
      </c>
    </row>
    <row r="8">
      <c r="A8" s="68" t="n">
        <v>3</v>
      </c>
      <c r="B8" s="29" t="n">
        <v>0.015</v>
      </c>
      <c r="C8" s="50">
        <f>Premissas!$B$20*B8*$B$3</f>
        <v/>
      </c>
      <c r="D8" s="50">
        <f>C8*Premissas!$B$9</f>
        <v/>
      </c>
      <c r="E8" s="51">
        <f>C8*Premissas!$B$6</f>
        <v/>
      </c>
      <c r="F8" s="51">
        <f>C8*Capacidade!$B$8</f>
        <v/>
      </c>
      <c r="G8" s="51">
        <f>Premissas!$B$52</f>
        <v/>
      </c>
      <c r="H8" s="52">
        <f>F8-G8</f>
        <v/>
      </c>
      <c r="I8" s="52">
        <f>I7+H8</f>
        <v/>
      </c>
    </row>
    <row r="9">
      <c r="A9" s="68" t="n">
        <v>4</v>
      </c>
      <c r="B9" s="29" t="n">
        <v>0.02</v>
      </c>
      <c r="C9" s="50">
        <f>Premissas!$B$20*B9*$B$3</f>
        <v/>
      </c>
      <c r="D9" s="50">
        <f>C9*Premissas!$B$9</f>
        <v/>
      </c>
      <c r="E9" s="51">
        <f>C9*Premissas!$B$6</f>
        <v/>
      </c>
      <c r="F9" s="51">
        <f>C9*Capacidade!$B$8</f>
        <v/>
      </c>
      <c r="G9" s="51">
        <f>Premissas!$B$52</f>
        <v/>
      </c>
      <c r="H9" s="52">
        <f>F9-G9</f>
        <v/>
      </c>
      <c r="I9" s="52">
        <f>I8+H9</f>
        <v/>
      </c>
    </row>
    <row r="10">
      <c r="A10" s="68" t="n">
        <v>5</v>
      </c>
      <c r="B10" s="29" t="n">
        <v>0.025</v>
      </c>
      <c r="C10" s="50">
        <f>Premissas!$B$20*B10*$B$3</f>
        <v/>
      </c>
      <c r="D10" s="50">
        <f>C10*Premissas!$B$9</f>
        <v/>
      </c>
      <c r="E10" s="51">
        <f>C10*Premissas!$B$6</f>
        <v/>
      </c>
      <c r="F10" s="51">
        <f>C10*Capacidade!$B$8</f>
        <v/>
      </c>
      <c r="G10" s="51">
        <f>Premissas!$B$52</f>
        <v/>
      </c>
      <c r="H10" s="52">
        <f>F10-G10</f>
        <v/>
      </c>
      <c r="I10" s="52">
        <f>I9+H10</f>
        <v/>
      </c>
    </row>
    <row r="11">
      <c r="A11" s="68" t="n">
        <v>6</v>
      </c>
      <c r="B11" s="29" t="n">
        <v>0.03</v>
      </c>
      <c r="C11" s="50">
        <f>Premissas!$B$20*B11*$B$3</f>
        <v/>
      </c>
      <c r="D11" s="50">
        <f>C11*Premissas!$B$9</f>
        <v/>
      </c>
      <c r="E11" s="51">
        <f>C11*Premissas!$B$6</f>
        <v/>
      </c>
      <c r="F11" s="51">
        <f>C11*Capacidade!$B$8</f>
        <v/>
      </c>
      <c r="G11" s="51">
        <f>Premissas!$B$52</f>
        <v/>
      </c>
      <c r="H11" s="52">
        <f>F11-G11</f>
        <v/>
      </c>
      <c r="I11" s="52">
        <f>I10+H11</f>
        <v/>
      </c>
    </row>
    <row r="12">
      <c r="A12" s="68" t="n">
        <v>7</v>
      </c>
      <c r="B12" s="29" t="n">
        <v>0.035</v>
      </c>
      <c r="C12" s="50">
        <f>Premissas!$B$20*B12*$B$3</f>
        <v/>
      </c>
      <c r="D12" s="50">
        <f>C12*Premissas!$B$9</f>
        <v/>
      </c>
      <c r="E12" s="51">
        <f>C12*Premissas!$B$6</f>
        <v/>
      </c>
      <c r="F12" s="51">
        <f>C12*Capacidade!$B$8</f>
        <v/>
      </c>
      <c r="G12" s="51">
        <f>Premissas!$B$52</f>
        <v/>
      </c>
      <c r="H12" s="52">
        <f>F12-G12</f>
        <v/>
      </c>
      <c r="I12" s="52">
        <f>I11+H12</f>
        <v/>
      </c>
    </row>
    <row r="13">
      <c r="A13" s="68" t="n">
        <v>8</v>
      </c>
      <c r="B13" s="29" t="n">
        <v>0.04</v>
      </c>
      <c r="C13" s="50">
        <f>Premissas!$B$20*B13*$B$3</f>
        <v/>
      </c>
      <c r="D13" s="50">
        <f>C13*Premissas!$B$9</f>
        <v/>
      </c>
      <c r="E13" s="51">
        <f>C13*Premissas!$B$6</f>
        <v/>
      </c>
      <c r="F13" s="51">
        <f>C13*Capacidade!$B$8</f>
        <v/>
      </c>
      <c r="G13" s="51">
        <f>Premissas!$B$52</f>
        <v/>
      </c>
      <c r="H13" s="52">
        <f>F13-G13</f>
        <v/>
      </c>
      <c r="I13" s="52">
        <f>I12+H13</f>
        <v/>
      </c>
    </row>
    <row r="14">
      <c r="A14" s="68" t="n">
        <v>9</v>
      </c>
      <c r="B14" s="29" t="n">
        <v>0.045</v>
      </c>
      <c r="C14" s="50">
        <f>Premissas!$B$20*B14*$B$3</f>
        <v/>
      </c>
      <c r="D14" s="50">
        <f>C14*Premissas!$B$9</f>
        <v/>
      </c>
      <c r="E14" s="51">
        <f>C14*Premissas!$B$6</f>
        <v/>
      </c>
      <c r="F14" s="51">
        <f>C14*Capacidade!$B$8</f>
        <v/>
      </c>
      <c r="G14" s="51">
        <f>Premissas!$B$52</f>
        <v/>
      </c>
      <c r="H14" s="52">
        <f>F14-G14</f>
        <v/>
      </c>
      <c r="I14" s="52">
        <f>I13+H14</f>
        <v/>
      </c>
    </row>
    <row r="15">
      <c r="A15" s="68" t="n">
        <v>10</v>
      </c>
      <c r="B15" s="29" t="n">
        <v>0.05</v>
      </c>
      <c r="C15" s="50">
        <f>Premissas!$B$20*B15*$B$3</f>
        <v/>
      </c>
      <c r="D15" s="50">
        <f>C15*Premissas!$B$9</f>
        <v/>
      </c>
      <c r="E15" s="51">
        <f>C15*Premissas!$B$6</f>
        <v/>
      </c>
      <c r="F15" s="51">
        <f>C15*Capacidade!$B$8</f>
        <v/>
      </c>
      <c r="G15" s="51">
        <f>Premissas!$B$52</f>
        <v/>
      </c>
      <c r="H15" s="52">
        <f>F15-G15</f>
        <v/>
      </c>
      <c r="I15" s="52">
        <f>I14+H15</f>
        <v/>
      </c>
    </row>
    <row r="16">
      <c r="A16" s="68" t="n">
        <v>11</v>
      </c>
      <c r="B16" s="29" t="n">
        <v>0.055</v>
      </c>
      <c r="C16" s="50">
        <f>Premissas!$B$20*B16*$B$3</f>
        <v/>
      </c>
      <c r="D16" s="50">
        <f>C16*Premissas!$B$9</f>
        <v/>
      </c>
      <c r="E16" s="51">
        <f>C16*Premissas!$B$6</f>
        <v/>
      </c>
      <c r="F16" s="51">
        <f>C16*Capacidade!$B$8</f>
        <v/>
      </c>
      <c r="G16" s="51">
        <f>Premissas!$B$52</f>
        <v/>
      </c>
      <c r="H16" s="52">
        <f>F16-G16</f>
        <v/>
      </c>
      <c r="I16" s="52">
        <f>I15+H16</f>
        <v/>
      </c>
    </row>
    <row r="17">
      <c r="A17" s="68" t="n">
        <v>12</v>
      </c>
      <c r="B17" s="29" t="n">
        <v>0.06</v>
      </c>
      <c r="C17" s="50">
        <f>Premissas!$B$20*B17*$B$3</f>
        <v/>
      </c>
      <c r="D17" s="50">
        <f>C17*Premissas!$B$9</f>
        <v/>
      </c>
      <c r="E17" s="51">
        <f>C17*Premissas!$B$6</f>
        <v/>
      </c>
      <c r="F17" s="51">
        <f>C17*Capacidade!$B$8</f>
        <v/>
      </c>
      <c r="G17" s="51">
        <f>Premissas!$B$52</f>
        <v/>
      </c>
      <c r="H17" s="52">
        <f>F17-G17</f>
        <v/>
      </c>
      <c r="I17" s="52">
        <f>I16+H17</f>
        <v/>
      </c>
    </row>
    <row r="18">
      <c r="A18" s="4" t="inlineStr">
        <is>
          <t>ANO 1</t>
        </is>
      </c>
      <c r="C18" s="69">
        <f>SUM(C6:C17)</f>
        <v/>
      </c>
      <c r="D18" s="69">
        <f>SUM(D6:D17)</f>
        <v/>
      </c>
      <c r="E18" s="70">
        <f>SUM(E6:E17)</f>
        <v/>
      </c>
      <c r="F18" s="70">
        <f>SUM(F6:F17)</f>
        <v/>
      </c>
      <c r="G18" s="70">
        <f>SUM(G6:G17)</f>
        <v/>
      </c>
      <c r="H18" s="70">
        <f>SUM(H6:H17)</f>
        <v/>
      </c>
      <c r="I18" s="70">
        <f>I17</f>
        <v/>
      </c>
    </row>
    <row r="20">
      <c r="A20" s="4" t="inlineStr">
        <is>
          <t>Investimento inicial</t>
        </is>
      </c>
      <c r="C20" s="71">
        <f>Premissas!$B$53</f>
        <v/>
      </c>
    </row>
    <row r="21">
      <c r="A21" s="4" t="inlineStr">
        <is>
          <t>Mês do equilíbrio operacional</t>
        </is>
      </c>
      <c r="C21" s="42">
        <f>IF(COUNTIF(H6:H17,"&gt;=0")=0,"após o mês 12",13-COUNTIF(H6:H17,"&gt;=0"))</f>
        <v/>
      </c>
      <c r="D21" s="11" t="inlineStr">
        <is>
          <t>Primeiro mês em que a margem cobre o custo fixo da estrutura nova.</t>
        </is>
      </c>
    </row>
    <row r="22">
      <c r="A22" s="4" t="inlineStr">
        <is>
          <t>Mês em que o caixa cobre o investimento</t>
        </is>
      </c>
      <c r="C22" s="42">
        <f>IF(COUNTIF(I6:I17,"&gt;="&amp;C20)=0,"após o mês 12",13-COUNTIF(I6:I17,"&gt;="&amp;C20))</f>
        <v/>
      </c>
      <c r="D22" s="18" t="n"/>
    </row>
    <row r="23">
      <c r="A23" s="4" t="inlineStr">
        <is>
          <t>Ganho sobre manter essas peças no atacado</t>
        </is>
      </c>
      <c r="C23" s="72">
        <f>F18-C18*Capacidade!$C$8</f>
        <v/>
      </c>
      <c r="D23" s="11" t="inlineStr">
        <is>
          <t>A diferença de margem nas mesmas peças. É o prêmio de ir direto.</t>
        </is>
      </c>
    </row>
  </sheetData>
  <mergeCells count="3">
    <mergeCell ref="D23:I23"/>
    <mergeCell ref="D22:I22"/>
    <mergeCell ref="D21:I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5" customWidth="1" min="2" max="2"/>
    <col width="72" customWidth="1" min="3" max="3"/>
  </cols>
  <sheetData>
    <row r="1">
      <c r="A1" s="1" t="inlineStr">
        <is>
          <t>CALCULADORA DE MÍDIA — LOJA PRÓPRIA</t>
        </is>
      </c>
    </row>
    <row r="2">
      <c r="A2" s="2" t="inlineStr">
        <is>
          <t>Meta cobra por impressão; Google cobra por clique. Os dois alimentam o mesmo produto.</t>
        </is>
      </c>
    </row>
    <row r="4">
      <c r="A4" s="3" t="inlineStr">
        <is>
          <t>ENTRADAS</t>
        </is>
      </c>
      <c r="B4" s="3" t="n"/>
      <c r="C4" s="3" t="n"/>
    </row>
    <row r="5">
      <c r="A5" s="7" t="inlineStr">
        <is>
          <t>Ticket médio</t>
        </is>
      </c>
      <c r="B5" s="47">
        <f>Premissas!$B$6</f>
        <v/>
      </c>
      <c r="C5" s="11" t="inlineStr">
        <is>
          <t>Vem de Premissas!B6.</t>
        </is>
      </c>
    </row>
    <row r="6">
      <c r="A6" s="7" t="inlineStr">
        <is>
          <t>Margem antes de mídia (%)</t>
        </is>
      </c>
      <c r="B6" s="73">
        <f>Calculadora!$E$20</f>
        <v/>
      </c>
      <c r="C6" s="11" t="inlineStr">
        <is>
          <t>Vem da Calculadora — loja própria, antes do custo de aquisição.</t>
        </is>
      </c>
    </row>
    <row r="7">
      <c r="A7" s="7" t="inlineStr">
        <is>
          <t>Verba mensal total</t>
        </is>
      </c>
      <c r="B7" s="74" t="n">
        <v>40000</v>
      </c>
      <c r="C7" s="18" t="n"/>
    </row>
    <row r="8">
      <c r="A8" s="7" t="inlineStr">
        <is>
          <t>Split da verba para Meta</t>
        </is>
      </c>
      <c r="B8" s="29" t="n">
        <v>0.7</v>
      </c>
      <c r="C8" s="11" t="inlineStr">
        <is>
          <t>O restante vai para o Google.</t>
        </is>
      </c>
    </row>
    <row r="9">
      <c r="A9" s="7" t="inlineStr">
        <is>
          <t>CPM — Meta</t>
        </is>
      </c>
      <c r="B9" s="28" t="n">
        <v>26</v>
      </c>
      <c r="C9" s="11" t="inlineStr">
        <is>
          <t>Moda feminina no Brasil em 2026: feed entre R$ 15 e R$ 35; Reels entre R$ 8 e R$ 20.</t>
        </is>
      </c>
    </row>
    <row r="10">
      <c r="A10" s="7" t="inlineStr">
        <is>
          <t>CTR — Meta</t>
        </is>
      </c>
      <c r="B10" s="75" t="n">
        <v>0.018</v>
      </c>
      <c r="C10" s="18" t="n"/>
    </row>
    <row r="11">
      <c r="A11" s="7" t="inlineStr">
        <is>
          <t>Conversão — Meta</t>
        </is>
      </c>
      <c r="B11" s="76" t="n">
        <v>0.017</v>
      </c>
      <c r="C11" s="11" t="inlineStr">
        <is>
          <t>A variável mais decisiva de todo o bloco.</t>
        </is>
      </c>
    </row>
    <row r="12">
      <c r="A12" s="7" t="inlineStr">
        <is>
          <t>CPC — Google</t>
        </is>
      </c>
      <c r="B12" s="28" t="n">
        <v>2.8</v>
      </c>
      <c r="C12" s="11" t="inlineStr">
        <is>
          <t>E-commerce de moda no Brasil: R$ 1,50 a R$ 4,00.</t>
        </is>
      </c>
    </row>
    <row r="13">
      <c r="A13" s="7" t="inlineStr">
        <is>
          <t>Conversão — Google</t>
        </is>
      </c>
      <c r="B13" s="75" t="n">
        <v>0.024</v>
      </c>
      <c r="C13" s="11" t="inlineStr">
        <is>
          <t>A busca converte melhor porque a intenção já existe.</t>
        </is>
      </c>
    </row>
    <row r="14">
      <c r="A14" s="7" t="inlineStr">
        <is>
          <t>Taxa de recompra em 12 meses</t>
        </is>
      </c>
      <c r="B14" s="29" t="n">
        <v>0.38</v>
      </c>
      <c r="C14" s="11" t="inlineStr">
        <is>
          <t>Sem retenção estruturada: 15% a 25%. Com fidelidade e e-mail: 35% a 50%.</t>
        </is>
      </c>
    </row>
    <row r="15">
      <c r="A15" s="7" t="inlineStr">
        <is>
          <t>Pedidos extras por recompradora</t>
        </is>
      </c>
      <c r="B15" s="77" t="n">
        <v>1.6</v>
      </c>
      <c r="C15" s="18" t="n"/>
    </row>
    <row r="16">
      <c r="C16" s="18" t="n"/>
    </row>
    <row r="17">
      <c r="A17" s="3" t="inlineStr">
        <is>
          <t>RESULTADO</t>
        </is>
      </c>
      <c r="B17" s="3" t="n"/>
      <c r="C17" s="78" t="n"/>
    </row>
    <row r="18">
      <c r="A18" s="4" t="inlineStr">
        <is>
          <t>Margem de contribuição por pedido</t>
        </is>
      </c>
      <c r="B18" s="57">
        <f>B5*B6</f>
        <v/>
      </c>
      <c r="C18" s="11" t="inlineStr">
        <is>
          <t>Antes do custo de mídia.</t>
        </is>
      </c>
    </row>
    <row r="19">
      <c r="A19" s="4" t="inlineStr">
        <is>
          <t>ROAS de equilíbrio</t>
        </is>
      </c>
      <c r="B19" s="40">
        <f>IF(B6&lt;=0,"—",1/B6)</f>
        <v/>
      </c>
      <c r="C19" s="11" t="inlineStr">
        <is>
          <t>Abaixo disso a mídia não se paga. Mediana de e-commerce em Meta Ads: 1,93x.</t>
        </is>
      </c>
    </row>
    <row r="20">
      <c r="A20" s="7" t="inlineStr">
        <is>
          <t>Verba — Meta</t>
        </is>
      </c>
      <c r="B20" s="51">
        <f>B7*B8</f>
        <v/>
      </c>
      <c r="C20" s="18" t="n"/>
    </row>
    <row r="21">
      <c r="A21" s="7" t="inlineStr">
        <is>
          <t>Verba — Google</t>
        </is>
      </c>
      <c r="B21" s="51">
        <f>B7-B20</f>
        <v/>
      </c>
      <c r="C21" s="18" t="n"/>
    </row>
    <row r="22">
      <c r="A22" s="7" t="inlineStr">
        <is>
          <t>Impressões — Meta</t>
        </is>
      </c>
      <c r="B22" s="50">
        <f>IF(B9=0,0,B20/B9*1000)</f>
        <v/>
      </c>
      <c r="C22" s="18" t="n"/>
    </row>
    <row r="23">
      <c r="A23" s="7" t="inlineStr">
        <is>
          <t>Cliques — Meta</t>
        </is>
      </c>
      <c r="B23" s="50">
        <f>B22*B10</f>
        <v/>
      </c>
      <c r="C23" s="18" t="n"/>
    </row>
    <row r="24">
      <c r="A24" s="7" t="inlineStr">
        <is>
          <t>Pedidos — Meta</t>
        </is>
      </c>
      <c r="B24" s="79">
        <f>B23*B11</f>
        <v/>
      </c>
      <c r="C24" s="18" t="n"/>
    </row>
    <row r="25">
      <c r="A25" s="7" t="inlineStr">
        <is>
          <t>Cliques — Google</t>
        </is>
      </c>
      <c r="B25" s="50">
        <f>IF(B12=0,0,B21/B12)</f>
        <v/>
      </c>
      <c r="C25" s="18" t="n"/>
    </row>
    <row r="26">
      <c r="A26" s="7" t="inlineStr">
        <is>
          <t>Pedidos — Google</t>
        </is>
      </c>
      <c r="B26" s="79">
        <f>B25*B13</f>
        <v/>
      </c>
      <c r="C26" s="18" t="n"/>
    </row>
    <row r="27">
      <c r="A27" s="7" t="inlineStr">
        <is>
          <t>Pedidos totais</t>
        </is>
      </c>
      <c r="B27" s="79">
        <f>B24+B26</f>
        <v/>
      </c>
      <c r="C27" s="18" t="n"/>
    </row>
    <row r="28">
      <c r="A28" s="4" t="inlineStr">
        <is>
          <t>CAC médio</t>
        </is>
      </c>
      <c r="B28" s="57">
        <f>IF(B27=0,"—",B7/B27)</f>
        <v/>
      </c>
      <c r="C28" s="11" t="inlineStr">
        <is>
          <t>No varejo online o CAC subiu cerca de 35% em três anos.</t>
        </is>
      </c>
    </row>
    <row r="29">
      <c r="A29" s="7" t="inlineStr">
        <is>
          <t>Receita gerada</t>
        </is>
      </c>
      <c r="B29" s="51">
        <f>B27*B5</f>
        <v/>
      </c>
      <c r="C29" s="18" t="n"/>
    </row>
    <row r="30">
      <c r="A30" s="7" t="inlineStr">
        <is>
          <t>ROAS realizado</t>
        </is>
      </c>
      <c r="B30" s="80">
        <f>IF(B7=0,0,B29/B7)</f>
        <v/>
      </c>
      <c r="C30" s="18" t="n"/>
    </row>
    <row r="31">
      <c r="A31" s="4" t="inlineStr">
        <is>
          <t>Resultado após mídia</t>
        </is>
      </c>
      <c r="B31" s="81">
        <f>B27*B18-B7</f>
        <v/>
      </c>
      <c r="C31" s="11" t="inlineStr">
        <is>
          <t>Negativo significa que a primeira compra não paga a aquisição.</t>
        </is>
      </c>
    </row>
    <row r="32">
      <c r="A32" s="7" t="inlineStr">
        <is>
          <t>LTV em 12 meses</t>
        </is>
      </c>
      <c r="B32" s="27">
        <f>B18*(1+B14*B15)</f>
        <v/>
      </c>
      <c r="C32" s="18" t="n"/>
    </row>
    <row r="33">
      <c r="A33" s="4" t="inlineStr">
        <is>
          <t>LTV ÷ CAC</t>
        </is>
      </c>
      <c r="B33" s="40">
        <f>IF(OR(B27=0,B7=0),"—",B32/(B7/B27))</f>
        <v/>
      </c>
      <c r="C33" s="11" t="inlineStr">
        <is>
          <t>A regra de mercado é no mínimo 3,0x.</t>
        </is>
      </c>
    </row>
    <row r="35">
      <c r="A35" s="4" t="inlineStr">
        <is>
          <t>Veredito</t>
        </is>
      </c>
      <c r="B35" s="4">
        <f>IF(B31&gt;=0,"A mídia se paga na primeira compra","A mídia NÃO se paga na primeira compra")</f>
        <v/>
      </c>
    </row>
    <row r="36" ht="32" customHeight="1">
      <c r="A36" s="4" t="inlineStr">
        <is>
          <t>Leitura</t>
        </is>
      </c>
      <c r="B36" s="82">
        <f>IF(B33&gt;=3,"Relação LTV/CAC saudável: a base financia a próxima safra.","Com este CAC o caminho não é mídia fria — é usar marketplace e TikTok Shop para adquirir a cliente, e a loja própria para a recompra.")</f>
        <v/>
      </c>
    </row>
  </sheetData>
  <mergeCells count="2">
    <mergeCell ref="B36:C36"/>
    <mergeCell ref="B35:C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76" customWidth="1" min="4" max="4"/>
  </cols>
  <sheetData>
    <row r="1">
      <c r="A1" s="1" t="inlineStr">
        <is>
          <t>TABELAS DE REFERÊNCIA — VIGENTES EM AGOSTO DE 2026</t>
        </is>
      </c>
    </row>
    <row r="2">
      <c r="A2" s="2" t="inlineStr">
        <is>
          <t>Consulta. Nada aqui alimenta o modelo automaticamente — as premissas ficam na aba Premissas.</t>
        </is>
      </c>
    </row>
    <row r="4">
      <c r="A4" s="3" t="inlineStr">
        <is>
          <t>MERCADO LIVRE — CATEGORIA MODA</t>
        </is>
      </c>
      <c r="B4" s="3" t="n"/>
      <c r="C4" s="3" t="n"/>
      <c r="D4" s="3" t="n"/>
    </row>
    <row r="5">
      <c r="A5" s="83" t="inlineStr">
        <is>
          <t>Tipo de anúncio</t>
        </is>
      </c>
      <c r="B5" s="83" t="inlineStr">
        <is>
          <t>Comissão</t>
        </is>
      </c>
      <c r="C5" s="83" t="inlineStr">
        <is>
          <t>Custo adicional</t>
        </is>
      </c>
      <c r="D5" s="83" t="inlineStr">
        <is>
          <t>Observação</t>
        </is>
      </c>
    </row>
    <row r="6">
      <c r="A6" s="84" t="inlineStr">
        <is>
          <t>Clássico</t>
        </is>
      </c>
      <c r="B6" s="85" t="n">
        <v>0.14</v>
      </c>
      <c r="C6" s="84" t="inlineStr">
        <is>
          <t>—</t>
        </is>
      </c>
      <c r="D6" s="84" t="inlineStr">
        <is>
          <t>Menor taxa, menor exposição.</t>
        </is>
      </c>
    </row>
    <row r="7">
      <c r="A7" s="84" t="inlineStr">
        <is>
          <t>Premium</t>
        </is>
      </c>
      <c r="B7" s="85" t="n">
        <v>0.19</v>
      </c>
      <c r="C7" s="84" t="inlineStr">
        <is>
          <t>—</t>
        </is>
      </c>
      <c r="D7" s="84" t="inlineStr">
        <is>
          <t>12x sem juros e mais exposição na busca.</t>
        </is>
      </c>
    </row>
    <row r="8">
      <c r="A8" s="84" t="inlineStr">
        <is>
          <t>Preço abaixo de R$ 79</t>
        </is>
      </c>
      <c r="B8" s="84" t="inlineStr">
        <is>
          <t>—</t>
        </is>
      </c>
      <c r="C8" s="84" t="inlineStr">
        <is>
          <t>variável</t>
        </is>
      </c>
      <c r="D8" s="84" t="inlineStr">
        <is>
          <t>Desde 02/03/2026 a taxa fixa virou custo logístico variável por peso e dimensão.</t>
        </is>
      </c>
    </row>
    <row r="9">
      <c r="A9" s="84" t="inlineStr">
        <is>
          <t>Preço a partir de R$ 79</t>
        </is>
      </c>
      <c r="B9" s="84" t="inlineStr">
        <is>
          <t>—</t>
        </is>
      </c>
      <c r="C9" s="84" t="inlineStr">
        <is>
          <t>frete grátis</t>
        </is>
      </c>
      <c r="D9" s="84" t="inlineStr">
        <is>
          <t>Frete grátis obrigatório; o ML subsidia parte conforme a reputação. Sem custo fixo por unidade.</t>
        </is>
      </c>
    </row>
    <row r="10">
      <c r="A10" s="66" t="inlineStr">
        <is>
          <t>A tarifa logística passou a incidir em toda venda, independentemente de quem paga o frete. Armazenagem no Full ficou 7,6% mais cara.</t>
        </is>
      </c>
    </row>
    <row r="12">
      <c r="A12" s="3" t="inlineStr">
        <is>
          <t>SHOPEE — TABELA DE MARÇO DE 2026</t>
        </is>
      </c>
      <c r="B12" s="3" t="n"/>
      <c r="C12" s="3" t="n"/>
      <c r="D12" s="3" t="n"/>
    </row>
    <row r="13">
      <c r="A13" s="83" t="inlineStr">
        <is>
          <t>Faixa de preço</t>
        </is>
      </c>
      <c r="B13" s="83" t="inlineStr">
        <is>
          <t>Comissão</t>
        </is>
      </c>
      <c r="C13" s="83" t="inlineStr">
        <is>
          <t>Taxa fixa por item</t>
        </is>
      </c>
      <c r="D13" s="83" t="inlineStr">
        <is>
          <t>Observação</t>
        </is>
      </c>
    </row>
    <row r="14">
      <c r="A14" s="84" t="inlineStr">
        <is>
          <t>Abaixo de R$ 8</t>
        </is>
      </c>
      <c r="B14" s="85" t="n">
        <v>0.5</v>
      </c>
      <c r="C14" s="86" t="n">
        <v>0</v>
      </c>
      <c r="D14" s="84" t="inlineStr">
        <is>
          <t>Faixa punitiva.</t>
        </is>
      </c>
    </row>
    <row r="15">
      <c r="A15" s="84" t="inlineStr">
        <is>
          <t>De R$ 8 a R$ 79,99</t>
        </is>
      </c>
      <c r="B15" s="85" t="n">
        <v>0.2</v>
      </c>
      <c r="C15" s="86" t="n">
        <v>4</v>
      </c>
      <c r="D15" s="84" t="inlineStr">
        <is>
          <t>A pior faixa para ticket baixo.</t>
        </is>
      </c>
    </row>
    <row r="16">
      <c r="A16" s="84" t="inlineStr">
        <is>
          <t>De R$ 80 a R$ 99,99</t>
        </is>
      </c>
      <c r="B16" s="85" t="n">
        <v>0.14</v>
      </c>
      <c r="C16" s="86" t="n">
        <v>16</v>
      </c>
      <c r="D16" s="84" t="inlineStr">
        <is>
          <t>A comissão cai, mas a taxa fixa sobe muito.</t>
        </is>
      </c>
    </row>
    <row r="17">
      <c r="A17" s="84" t="inlineStr">
        <is>
          <t>De R$ 100 a R$ 199,99</t>
        </is>
      </c>
      <c r="B17" s="85" t="n">
        <v>0.14</v>
      </c>
      <c r="C17" s="86" t="n">
        <v>20</v>
      </c>
      <c r="D17" s="84" t="inlineStr">
        <is>
          <t>Faixa recomendada para vestido e conjunto.</t>
        </is>
      </c>
    </row>
    <row r="18">
      <c r="A18" s="84" t="inlineStr">
        <is>
          <t>R$ 200 ou mais</t>
        </is>
      </c>
      <c r="B18" s="85" t="n">
        <v>0.14</v>
      </c>
      <c r="C18" s="86" t="n">
        <v>26</v>
      </c>
      <c r="D18" s="84" t="inlineStr">
        <is>
          <t>—</t>
        </is>
      </c>
    </row>
    <row r="19">
      <c r="A19" s="66" t="inlineStr">
        <is>
          <t>O teto de comissão de R$ 100 por item foi extinto e a taxa fixa subiu até 550%. O Programa de Frete Grátis deixou de ser opcional.</t>
        </is>
      </c>
    </row>
    <row r="21">
      <c r="A21" s="3" t="inlineStr">
        <is>
          <t>TIKTOK SHOP — TABELA DE 15 DE JULHO DE 2026</t>
        </is>
      </c>
      <c r="B21" s="3" t="n"/>
      <c r="C21" s="3" t="n"/>
      <c r="D21" s="3" t="n"/>
    </row>
    <row r="22">
      <c r="A22" s="83" t="inlineStr">
        <is>
          <t>Faixa de preço</t>
        </is>
      </c>
      <c r="B22" s="83" t="inlineStr">
        <is>
          <t>Comissão</t>
        </is>
      </c>
      <c r="C22" s="83" t="inlineStr">
        <is>
          <t>Taxa fixa por item</t>
        </is>
      </c>
      <c r="D22" s="83" t="inlineStr">
        <is>
          <t>Observação</t>
        </is>
      </c>
    </row>
    <row r="23">
      <c r="A23" s="84" t="inlineStr">
        <is>
          <t>Abaixo de R$ 50</t>
        </is>
      </c>
      <c r="B23" s="85" t="n">
        <v>0.1</v>
      </c>
      <c r="C23" s="86" t="n">
        <v>0</v>
      </c>
      <c r="D23" s="84" t="inlineStr">
        <is>
          <t>A comissão subiu de 6% para 10% nesta faixa.</t>
        </is>
      </c>
    </row>
    <row r="24">
      <c r="A24" s="84" t="inlineStr">
        <is>
          <t>R$ 50 ou mais</t>
        </is>
      </c>
      <c r="B24" s="85" t="n">
        <v>0.06</v>
      </c>
      <c r="C24" s="86" t="n">
        <v>6</v>
      </c>
      <c r="D24" s="84" t="inlineStr">
        <is>
          <t>A taxa fixa subiu de R$ 4 para R$ 6.</t>
        </is>
      </c>
    </row>
    <row r="25">
      <c r="A25" s="84" t="inlineStr">
        <is>
          <t>Programa de frete grátis</t>
        </is>
      </c>
      <c r="B25" s="85" t="n">
        <v>0.06</v>
      </c>
      <c r="C25" s="84" t="inlineStr">
        <is>
          <t>—</t>
        </is>
      </c>
      <c r="D25" s="84" t="inlineStr">
        <is>
          <t>Sobre o valor do produto.</t>
        </is>
      </c>
    </row>
    <row r="26">
      <c r="A26" s="84" t="inlineStr">
        <is>
          <t>Comissão de afiliado</t>
        </is>
      </c>
      <c r="B26" s="84" t="inlineStr">
        <is>
          <t>15% a 20%</t>
        </is>
      </c>
      <c r="C26" s="84" t="inlineStr">
        <is>
          <t>—</t>
        </is>
      </c>
      <c r="D26" s="84" t="inlineStr">
        <is>
          <t>Definida por SKU. Em moda feminina a prática fica entre 15% e 20%.</t>
        </is>
      </c>
    </row>
    <row r="27">
      <c r="A27" s="66" t="inlineStr">
        <is>
          <t>Menor taxa de plataforma das três, mas a demanda não vem incluída: a comissão de afiliado é, na prática, o custo de gerar a demanda — e só se paga quando vende.</t>
        </is>
      </c>
    </row>
    <row r="29">
      <c r="A29" s="3" t="inlineStr">
        <is>
          <t>TRIBUTAÇÃO — FORA DO SIMPLES NACIONAL</t>
        </is>
      </c>
      <c r="B29" s="3" t="n"/>
      <c r="C29" s="3" t="n"/>
      <c r="D29" s="3" t="n"/>
    </row>
    <row r="30">
      <c r="A30" s="83" t="inlineStr">
        <is>
          <t>Tributo</t>
        </is>
      </c>
      <c r="B30" s="83" t="inlineStr">
        <is>
          <t>Lucro Presumido</t>
        </is>
      </c>
      <c r="C30" s="83" t="inlineStr">
        <is>
          <t>Lucro Real</t>
        </is>
      </c>
      <c r="D30" s="83" t="inlineStr">
        <is>
          <t>Observação</t>
        </is>
      </c>
    </row>
    <row r="31">
      <c r="A31" s="84" t="inlineStr">
        <is>
          <t>PIS + COFINS</t>
        </is>
      </c>
      <c r="B31" s="85" t="n">
        <v>0.0365</v>
      </c>
      <c r="C31" s="85" t="n">
        <v>0.0925</v>
      </c>
      <c r="D31" s="84" t="inlineStr">
        <is>
          <t>No Real são não cumulativos, com crédito sobre malha, energia, frete e insumos.</t>
        </is>
      </c>
    </row>
    <row r="32">
      <c r="A32" s="84" t="inlineStr">
        <is>
          <t>IRPJ</t>
        </is>
      </c>
      <c r="B32" s="84" t="inlineStr">
        <is>
          <t>presunção 8,8% × 15%</t>
        </is>
      </c>
      <c r="C32" s="84" t="inlineStr">
        <is>
          <t>34% sobre o lucro</t>
        </is>
      </c>
      <c r="D32" s="84" t="inlineStr">
        <is>
          <t>A presunção subiu 10% sobre a receita acima de R$ 5 mi/ano (IN RFB 2.306/2026).</t>
        </is>
      </c>
    </row>
    <row r="33">
      <c r="A33" s="84" t="inlineStr">
        <is>
          <t>CSLL</t>
        </is>
      </c>
      <c r="B33" s="84" t="inlineStr">
        <is>
          <t>presunção 13,2% × 9%</t>
        </is>
      </c>
      <c r="C33" s="84" t="inlineStr">
        <is>
          <t>incluso nos 34%</t>
        </is>
      </c>
      <c r="D33" s="84" t="inlineStr">
        <is>
          <t>—</t>
        </is>
      </c>
    </row>
    <row r="34">
      <c r="A34" s="84" t="inlineStr">
        <is>
          <t>Federal efetivo sobre receita</t>
        </is>
      </c>
      <c r="B34" s="85" t="n">
        <v>0.0704</v>
      </c>
      <c r="C34" s="84" t="inlineStr">
        <is>
          <t>variável</t>
        </is>
      </c>
      <c r="D34" s="84" t="inlineStr">
        <is>
          <t>No Presumido é fixo; no Real depende da margem e dos créditos.</t>
        </is>
      </c>
    </row>
    <row r="35">
      <c r="A35" s="84" t="inlineStr">
        <is>
          <t>ICMS líquido de créditos</t>
        </is>
      </c>
      <c r="B35" s="85" t="n">
        <v>0.07000000000000001</v>
      </c>
      <c r="C35" s="85" t="n">
        <v>0.07000000000000001</v>
      </c>
      <c r="D35" s="84" t="inlineStr">
        <is>
          <t>ESTIMATIVA. Depende do estado, do regime especial e do perfil de créditos.</t>
        </is>
      </c>
    </row>
    <row r="36">
      <c r="A36" s="66" t="inlineStr">
        <is>
          <t>Regra prática: se a margem líquida real da indústria está abaixo de 8%, o Lucro Presumido está fazendo a empresa pagar imposto sobre lucro que não existe. A comparação precisa ser refeita pelo contador com os números fechados de 2026, separando receita B2B de receita direta.</t>
        </is>
      </c>
    </row>
    <row r="38">
      <c r="A38" s="3" t="inlineStr">
        <is>
          <t>DEVOLUÇÃO E MÍDIA — REFERÊNCIAS DE 2026</t>
        </is>
      </c>
      <c r="B38" s="3" t="n"/>
      <c r="C38" s="3" t="n"/>
      <c r="D38" s="3" t="n"/>
    </row>
    <row r="39">
      <c r="A39" s="83" t="inlineStr">
        <is>
          <t>Indicador</t>
        </is>
      </c>
      <c r="B39" s="83" t="inlineStr">
        <is>
          <t>Faixa</t>
        </is>
      </c>
      <c r="C39" s="83" t="inlineStr">
        <is>
          <t>Fonte</t>
        </is>
      </c>
      <c r="D39" s="83" t="inlineStr">
        <is>
          <t>Observação</t>
        </is>
      </c>
    </row>
    <row r="40">
      <c r="A40" s="84" t="inlineStr">
        <is>
          <t>Devolução em moda</t>
        </is>
      </c>
      <c r="B40" s="84" t="inlineStr">
        <is>
          <t>30% a 40%</t>
        </is>
      </c>
      <c r="C40" s="84" t="inlineStr">
        <is>
          <t>E-commerce Brasil 2026</t>
        </is>
      </c>
      <c r="D40" s="84" t="inlineStr">
        <is>
          <t>Tamanho errado responde por mais da metade dos casos.</t>
        </is>
      </c>
    </row>
    <row r="41">
      <c r="A41" s="84" t="inlineStr">
        <is>
          <t>Devolução em vestidos</t>
        </is>
      </c>
      <c r="B41" s="84" t="inlineStr">
        <is>
          <t>até 50%</t>
        </is>
      </c>
      <c r="C41" s="84" t="inlineStr">
        <is>
          <t>Operações específicas</t>
        </is>
      </c>
      <c r="D41" s="84" t="inlineStr">
        <is>
          <t>Vestidos e alfaiataria são as categorias de maior risco.</t>
        </is>
      </c>
    </row>
    <row r="42">
      <c r="A42" s="84" t="inlineStr">
        <is>
          <t>Custo por devolução</t>
        </is>
      </c>
      <c r="B42" s="84" t="inlineStr">
        <is>
          <t>R$ 35 a R$ 65</t>
        </is>
      </c>
      <c r="C42" s="84" t="inlineStr">
        <is>
          <t>Logística reversa</t>
        </is>
      </c>
      <c r="D42" s="84" t="inlineStr">
        <is>
          <t>Frete reverso mais recebimento, conferência e reintegração.</t>
        </is>
      </c>
    </row>
    <row r="43">
      <c r="A43" s="84" t="inlineStr">
        <is>
          <t>CPM Meta — feed</t>
        </is>
      </c>
      <c r="B43" s="84" t="inlineStr">
        <is>
          <t>R$ 15 a R$ 35</t>
        </is>
      </c>
      <c r="C43" s="84" t="inlineStr">
        <is>
          <t>Benchmarks Brasil 2026</t>
        </is>
      </c>
      <c r="D43" s="84" t="inlineStr">
        <is>
          <t>Reels e Stories saem entre R$ 8 e R$ 20.</t>
        </is>
      </c>
    </row>
    <row r="44">
      <c r="A44" s="84" t="inlineStr">
        <is>
          <t>CPC Google — moda</t>
        </is>
      </c>
      <c r="B44" s="84" t="inlineStr">
        <is>
          <t>R$ 1,50 a R$ 4,00</t>
        </is>
      </c>
      <c r="C44" s="84" t="inlineStr">
        <is>
          <t>Benchmarks Brasil 2026</t>
        </is>
      </c>
      <c r="D44" s="84" t="inlineStr">
        <is>
          <t>—</t>
        </is>
      </c>
    </row>
    <row r="45">
      <c r="A45" s="84" t="inlineStr">
        <is>
          <t>ROAS mediano — e-commerce</t>
        </is>
      </c>
      <c r="B45" s="84" t="inlineStr">
        <is>
          <t>1,93x</t>
        </is>
      </c>
      <c r="C45" s="84" t="inlineStr">
        <is>
          <t>Benchmarks por indústria</t>
        </is>
      </c>
      <c r="D45" s="84" t="inlineStr">
        <is>
          <t>Mediana de mercado em Meta Ads.</t>
        </is>
      </c>
    </row>
    <row r="46">
      <c r="A46" s="84" t="inlineStr">
        <is>
          <t>Alta de custo do Meta Ads</t>
        </is>
      </c>
      <c r="B46" s="84" t="inlineStr">
        <is>
          <t>12,15%</t>
        </is>
      </c>
      <c r="C46" s="84" t="inlineStr">
        <is>
          <t>Repasse de 01/01/2026</t>
        </is>
      </c>
      <c r="D46" s="84" t="inlineStr">
        <is>
          <t>PIS/Cofins 9,25% e ISS 2,9%. R$ 1.000 passou a custar R$ 1.121,50.</t>
        </is>
      </c>
    </row>
    <row r="47">
      <c r="A47" s="84" t="inlineStr">
        <is>
          <t>TikTok Shop no Brasil</t>
        </is>
      </c>
      <c r="B47" s="84" t="inlineStr">
        <is>
          <t>57,8%</t>
        </is>
      </c>
      <c r="C47" s="84" t="inlineStr">
        <is>
          <t>TikTok, 2026</t>
        </is>
      </c>
      <c r="D47" s="84" t="inlineStr">
        <is>
          <t>Dos usuários brasileiros já compraram após descobrir o produto na plataforma. 134 milhões de contas ativas.</t>
        </is>
      </c>
    </row>
  </sheetData>
  <mergeCells count="4">
    <mergeCell ref="A10:D10"/>
    <mergeCell ref="A27:D27"/>
    <mergeCell ref="A36:D3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2026-08-26T14:04:57Z</dcterms:created>
  <dcterms:modified xsi:type="dcterms:W3CDTF">2026-08-26T14:04:57Z</dcterms:modified>
</cp:coreProperties>
</file>